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D:\my filess\my files\BrainMachineproject\"/>
    </mc:Choice>
  </mc:AlternateContent>
  <xr:revisionPtr revIDLastSave="0" documentId="13_ncr:1_{FC53AB7F-8029-4BB5-B1EE-9B4645C153D7}" xr6:coauthVersionLast="47" xr6:coauthVersionMax="47" xr10:uidLastSave="{00000000-0000-0000-0000-000000000000}"/>
  <bookViews>
    <workbookView xWindow="-110" yWindow="-110" windowWidth="19420" windowHeight="10420" activeTab="2" xr2:uid="{284F3E43-70CE-4814-9CD9-9D7AB45D1F32}"/>
  </bookViews>
  <sheets>
    <sheet name="Chart1" sheetId="7" r:id="rId1"/>
    <sheet name="Anlysis" sheetId="5" r:id="rId2"/>
    <sheet name="Dashbord" sheetId="6" r:id="rId3"/>
    <sheet name="sales data sample" sheetId="1" r:id="rId4"/>
    <sheet name="Sheet1" sheetId="2" r:id="rId5"/>
  </sheets>
  <definedNames>
    <definedName name="Chooseoption">Anlysis!$AQ$1</definedName>
    <definedName name="Company">Sheet1!$E$7:$E$11</definedName>
    <definedName name="Product_code">Sheet1!$D$7:$D$11</definedName>
    <definedName name="Rank">Sheet1!$C$7:$C$11</definedName>
    <definedName name="Revenue">Sheet1!$F$7:$F$11</definedName>
    <definedName name="Slicer_Company2">#N/A</definedName>
    <definedName name="Slicer_Products1">#N/A</definedName>
    <definedName name="Slicer_Sales_Representitiv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9" i="5" l="1"/>
  <c r="BT10" i="5"/>
  <c r="BT11" i="5"/>
  <c r="BT12" i="5"/>
  <c r="BT8" i="5"/>
  <c r="CF7" i="5" s="1"/>
  <c r="AF4" i="5"/>
  <c r="CF10" i="5" l="1"/>
  <c r="CF9" i="5"/>
  <c r="CF8" i="5"/>
  <c r="CF6" i="5"/>
  <c r="M2" i="1" l="1"/>
  <c r="M3" i="1"/>
  <c r="M4" i="1"/>
  <c r="M5" i="1"/>
  <c r="M6" i="1"/>
  <c r="M7" i="1"/>
  <c r="M8" i="1"/>
  <c r="L2" i="1"/>
  <c r="L3" i="1"/>
  <c r="L4" i="1"/>
  <c r="L5" i="1"/>
  <c r="L6" i="1"/>
  <c r="L7" i="1"/>
  <c r="L8" i="1"/>
  <c r="AV14" i="5"/>
  <c r="AW14" i="5"/>
  <c r="F3" i="1"/>
  <c r="F4" i="1"/>
  <c r="F5" i="1"/>
  <c r="F6" i="1"/>
  <c r="F7" i="1"/>
  <c r="F8" i="1"/>
  <c r="F2" i="1"/>
  <c r="Y4" i="5"/>
  <c r="AM4" i="5"/>
  <c r="AU3" i="5" l="1"/>
  <c r="AZ14" i="5"/>
  <c r="AY14" i="5"/>
  <c r="AX14" i="5"/>
  <c r="AC4" i="5" l="1"/>
  <c r="AM6" i="5" l="1"/>
  <c r="AM5" i="5"/>
  <c r="AC10" i="5" l="1"/>
  <c r="AC9" i="5"/>
  <c r="AC8" i="5"/>
  <c r="AC7" i="5"/>
  <c r="AC5" i="5"/>
  <c r="AC6" i="5"/>
  <c r="J8" i="1" l="1"/>
  <c r="I8" i="1"/>
  <c r="H8" i="1"/>
  <c r="J7" i="1"/>
  <c r="I7" i="1"/>
  <c r="H7" i="1"/>
  <c r="J6" i="1"/>
  <c r="I6" i="1"/>
  <c r="H6" i="1"/>
  <c r="J5" i="1"/>
  <c r="I5" i="1"/>
  <c r="H5" i="1"/>
  <c r="J4" i="1"/>
  <c r="I4" i="1"/>
  <c r="H4" i="1"/>
  <c r="J3" i="1"/>
  <c r="I3" i="1"/>
  <c r="H3" i="1"/>
  <c r="J2" i="1"/>
  <c r="I2" i="1"/>
  <c r="H2" i="1"/>
</calcChain>
</file>

<file path=xl/sharedStrings.xml><?xml version="1.0" encoding="utf-8"?>
<sst xmlns="http://schemas.openxmlformats.org/spreadsheetml/2006/main" count="183" uniqueCount="52">
  <si>
    <t>Products</t>
  </si>
  <si>
    <t xml:space="preserve">Classic Cars </t>
  </si>
  <si>
    <t>Motorcycles</t>
  </si>
  <si>
    <t>Planes</t>
  </si>
  <si>
    <t>Ships</t>
  </si>
  <si>
    <t>Trains</t>
  </si>
  <si>
    <t>Trucks and Buses</t>
  </si>
  <si>
    <t>Vintage Cars</t>
  </si>
  <si>
    <t>Rank</t>
  </si>
  <si>
    <t>Company</t>
  </si>
  <si>
    <t>Revenue</t>
  </si>
  <si>
    <t>Euro Shopping Channel</t>
  </si>
  <si>
    <t>Mini Gifts Distributors Ltd.</t>
  </si>
  <si>
    <t>Australian Collectors, Co.</t>
  </si>
  <si>
    <t>La Rochelle Gifts</t>
  </si>
  <si>
    <t>Muscle Machine Inc</t>
  </si>
  <si>
    <t>Total revenue</t>
  </si>
  <si>
    <t>Total Amount</t>
  </si>
  <si>
    <t>Growth % (2003-2005)</t>
  </si>
  <si>
    <t>2003</t>
  </si>
  <si>
    <t>2004</t>
  </si>
  <si>
    <t>2005</t>
  </si>
  <si>
    <t>Product Code</t>
  </si>
  <si>
    <t>pro1</t>
  </si>
  <si>
    <t>pro2</t>
  </si>
  <si>
    <t>pro3</t>
  </si>
  <si>
    <t>pro4</t>
  </si>
  <si>
    <t>pro5</t>
  </si>
  <si>
    <t>Product code</t>
  </si>
  <si>
    <t>Company Rank</t>
  </si>
  <si>
    <t>Company Revenue</t>
  </si>
  <si>
    <t xml:space="preserve"> 2003</t>
  </si>
  <si>
    <t xml:space="preserve"> 2004</t>
  </si>
  <si>
    <t xml:space="preserve"> 2005</t>
  </si>
  <si>
    <t>Katie Stanton</t>
  </si>
  <si>
    <t>Tracy Lee</t>
  </si>
  <si>
    <t>Elizabeth Guerrero</t>
  </si>
  <si>
    <t>Sales Representitive</t>
  </si>
  <si>
    <t xml:space="preserve"> Total Amount</t>
  </si>
  <si>
    <t>Highlight</t>
  </si>
  <si>
    <t>Check</t>
  </si>
  <si>
    <t>check</t>
  </si>
  <si>
    <t>Sum of Company Revenue</t>
  </si>
  <si>
    <t>VALUE</t>
  </si>
  <si>
    <t>Sum of Growth % (2003-2005)</t>
  </si>
  <si>
    <t>Sell Growth(2003-2004)</t>
  </si>
  <si>
    <t>Sell Growth(2004-2005)</t>
  </si>
  <si>
    <t>Cell Growth Analysis</t>
  </si>
  <si>
    <t>Sum of Sell Growth(2003-2004)</t>
  </si>
  <si>
    <t>Sum of Sell Growth(2004-2005)</t>
  </si>
  <si>
    <t xml:space="preserve"> </t>
  </si>
  <si>
    <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</si>
</sst>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quot;$&quot;#,##0"/>
    <numFmt numFmtId="165" formatCode="_(* #,##0_);_(* \(#,##0\);_(* &quot;-&quot;??_);_(@_)"/>
    <numFmt numFmtId="166" formatCode="[$$-C09]#,##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8"/>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indexed="64"/>
      </patternFill>
    </fill>
    <fill>
      <patternFill patternType="solid">
        <fgColor theme="3" tint="0.79998168889431442"/>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4"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33">
    <xf numFmtId="0" fontId="0" fillId="0" borderId="0" xfId="0"/>
    <xf numFmtId="0" fontId="18" fillId="33" borderId="0" xfId="0" applyFont="1" applyFill="1"/>
    <xf numFmtId="0" fontId="18" fillId="33" borderId="0" xfId="0" applyFont="1" applyFill="1" applyAlignment="1">
      <alignment horizontal="center" vertical="center"/>
    </xf>
    <xf numFmtId="0" fontId="0" fillId="0" borderId="0" xfId="0" applyAlignment="1">
      <alignment horizontal="center" vertical="top"/>
    </xf>
    <xf numFmtId="0" fontId="0" fillId="0" borderId="0" xfId="0" applyAlignment="1">
      <alignment horizontal="center"/>
    </xf>
    <xf numFmtId="0" fontId="16" fillId="33" borderId="0" xfId="0" applyFont="1" applyFill="1"/>
    <xf numFmtId="3" fontId="0" fillId="0" borderId="0" xfId="0" applyNumberFormat="1"/>
    <xf numFmtId="164" fontId="0" fillId="0" borderId="0" xfId="0" applyNumberFormat="1"/>
    <xf numFmtId="164" fontId="0" fillId="34" borderId="0" xfId="0" applyNumberFormat="1" applyFill="1"/>
    <xf numFmtId="0" fontId="0" fillId="34" borderId="0" xfId="0" applyFill="1"/>
    <xf numFmtId="10" fontId="0" fillId="0" borderId="0" xfId="0" applyNumberFormat="1"/>
    <xf numFmtId="0" fontId="0" fillId="0" borderId="0" xfId="0" pivotButton="1"/>
    <xf numFmtId="0" fontId="16" fillId="35" borderId="10" xfId="0" applyFont="1" applyFill="1" applyBorder="1"/>
    <xf numFmtId="0" fontId="0" fillId="36" borderId="0" xfId="0" applyFill="1"/>
    <xf numFmtId="1" fontId="0" fillId="0" borderId="0" xfId="0" applyNumberFormat="1"/>
    <xf numFmtId="165" fontId="0" fillId="0" borderId="0" xfId="42" applyNumberFormat="1" applyFont="1"/>
    <xf numFmtId="0" fontId="14" fillId="36" borderId="0" xfId="0" applyFont="1" applyFill="1"/>
    <xf numFmtId="2"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37" borderId="0" xfId="0" applyFill="1"/>
    <xf numFmtId="166" fontId="0" fillId="0" borderId="0" xfId="0" applyNumberFormat="1"/>
    <xf numFmtId="0" fontId="16" fillId="0" borderId="0" xfId="0" applyFont="1"/>
    <xf numFmtId="0" fontId="16" fillId="38" borderId="0" xfId="0" applyFont="1" applyFill="1"/>
    <xf numFmtId="0" fontId="0" fillId="39" borderId="0" xfId="0" applyFill="1"/>
    <xf numFmtId="0" fontId="0" fillId="40"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
    <dxf>
      <numFmt numFmtId="14" formatCode="0.00%"/>
    </dxf>
    <dxf>
      <numFmt numFmtId="14" formatCode="0.00%"/>
    </dxf>
    <dxf>
      <numFmt numFmtId="3" formatCode="#,##0"/>
    </dxf>
    <dxf>
      <numFmt numFmtId="3" formatCode="#,##0"/>
    </dxf>
    <dxf>
      <numFmt numFmtId="3" formatCode="#,##0"/>
    </dxf>
    <dxf>
      <numFmt numFmtId="3" formatCode="#,##0"/>
    </dxf>
    <dxf>
      <numFmt numFmtId="3" formatCode="#,##0"/>
    </dxf>
    <dxf>
      <numFmt numFmtId="14" formatCode="0.00%"/>
    </dxf>
    <dxf>
      <numFmt numFmtId="3" formatCode="#,##0"/>
    </dxf>
    <dxf>
      <numFmt numFmtId="3" formatCode="#,##0"/>
    </dxf>
    <dxf>
      <numFmt numFmtId="3" formatCode="#,##0"/>
    </dxf>
    <dxf>
      <numFmt numFmtId="3" formatCode="#,##0"/>
    </dxf>
    <dxf>
      <font>
        <b/>
        <i val="0"/>
        <strike val="0"/>
        <condense val="0"/>
        <extend val="0"/>
        <outline val="0"/>
        <shadow val="0"/>
        <u val="none"/>
        <vertAlign val="baseline"/>
        <sz val="12"/>
        <color theme="1"/>
        <name val="Calibri"/>
        <family val="2"/>
        <scheme val="minor"/>
      </font>
      <fill>
        <patternFill patternType="solid">
          <fgColor indexed="64"/>
          <bgColor theme="8"/>
        </patternFill>
      </fill>
    </dxf>
  </dxfs>
  <tableStyles count="0" defaultTableStyle="TableStyleMedium2" defaultPivotStyle="PivotStyleLight16"/>
  <colors>
    <mruColors>
      <color rgb="FF30A9B4"/>
      <color rgb="FF7CD3DC"/>
      <color rgb="FF11289D"/>
      <color rgb="FF33A7B6"/>
      <color rgb="FFC4C3C4"/>
      <color rgb="FF9EC3C6"/>
      <color rgb="FF7ED2DC"/>
      <color rgb="FFA7B5DB"/>
      <color rgb="FF4472C4"/>
      <color rgb="FF6161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2.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4.xml"/><Relationship Id="rId10" Type="http://schemas.openxmlformats.org/officeDocument/2006/relationships/theme" Target="theme/theme1.xml"/><Relationship Id="rId4" Type="http://schemas.openxmlformats.org/officeDocument/2006/relationships/worksheet" Target="worksheets/sheet3.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 5 companies dashbord by Dhananjoy.xlsm]Anlysis!PivotTable23</c:name>
    <c:fmtId val="3"/>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dLbls>
          <c:showLegendKey val="0"/>
          <c:showVal val="0"/>
          <c:showCatName val="0"/>
          <c:showSerName val="0"/>
          <c:showPercent val="0"/>
          <c:showBubbleSize val="0"/>
        </c:dLbls>
        <c:marker val="1"/>
        <c:smooth val="0"/>
        <c:axId val="524165007"/>
        <c:axId val="524167887"/>
      </c:lineChart>
      <c:catAx>
        <c:axId val="524165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67887"/>
        <c:crosses val="autoZero"/>
        <c:auto val="1"/>
        <c:lblAlgn val="ctr"/>
        <c:lblOffset val="100"/>
        <c:noMultiLvlLbl val="0"/>
      </c:catAx>
      <c:valAx>
        <c:axId val="52416788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650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[Top 5 companies dashbord by Dhananjoy.xlsm]Anlysis!PivotTable7</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EC3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CD3D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3A7B6"/>
          </a:solidFill>
          <a:ln>
            <a:noFill/>
          </a:ln>
          <a:effectLst/>
        </c:spPr>
      </c:pivotFmt>
      <c:pivotFmt>
        <c:idx val="10"/>
        <c:spPr>
          <a:solidFill>
            <a:srgbClr val="9EC3C6"/>
          </a:solidFill>
          <a:ln>
            <a:noFill/>
          </a:ln>
          <a:effectLst/>
        </c:spPr>
      </c:pivotFmt>
      <c:pivotFmt>
        <c:idx val="11"/>
        <c:spPr>
          <a:solidFill>
            <a:srgbClr val="7CD3DC"/>
          </a:solidFill>
          <a:ln>
            <a:noFill/>
          </a:ln>
          <a:effectLst/>
        </c:spPr>
      </c:pivotFmt>
    </c:pivotFmts>
    <c:plotArea>
      <c:layout>
        <c:manualLayout>
          <c:layoutTarget val="inner"/>
          <c:xMode val="edge"/>
          <c:yMode val="edge"/>
          <c:x val="3.6862114325970537E-2"/>
          <c:y val="8.2086531506429347E-2"/>
          <c:w val="0.87961173323273056"/>
          <c:h val="0.85322955778848653"/>
        </c:manualLayout>
      </c:layout>
      <c:barChart>
        <c:barDir val="col"/>
        <c:grouping val="clustered"/>
        <c:varyColors val="0"/>
        <c:ser>
          <c:idx val="0"/>
          <c:order val="0"/>
          <c:tx>
            <c:strRef>
              <c:f>Anlysis!$G$4</c:f>
              <c:strCache>
                <c:ptCount val="1"/>
                <c:pt idx="0">
                  <c:v> 2003</c:v>
                </c:pt>
              </c:strCache>
            </c:strRef>
          </c:tx>
          <c:spPr>
            <a:solidFill>
              <a:srgbClr val="9EC3C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Anlysis!$F$5</c:f>
              <c:strCache>
                <c:ptCount val="1"/>
                <c:pt idx="0">
                  <c:v>Classic Cars </c:v>
                </c:pt>
              </c:strCache>
            </c:strRef>
          </c:cat>
          <c:val>
            <c:numRef>
              <c:f>Anlysis!$G$5</c:f>
              <c:numCache>
                <c:formatCode>#,##0</c:formatCode>
                <c:ptCount val="1"/>
                <c:pt idx="0">
                  <c:v>4056.7904100000001</c:v>
                </c:pt>
              </c:numCache>
            </c:numRef>
          </c:val>
          <c:extLst>
            <c:ext xmlns:c16="http://schemas.microsoft.com/office/drawing/2014/chart" uri="{C3380CC4-5D6E-409C-BE32-E72D297353CC}">
              <c16:uniqueId val="{00000009-8C51-458B-A12B-3EDC66923474}"/>
            </c:ext>
          </c:extLst>
        </c:ser>
        <c:ser>
          <c:idx val="1"/>
          <c:order val="1"/>
          <c:tx>
            <c:strRef>
              <c:f>Anlysis!$H$4</c:f>
              <c:strCache>
                <c:ptCount val="1"/>
                <c:pt idx="0">
                  <c:v> 2004</c:v>
                </c:pt>
              </c:strCache>
            </c:strRef>
          </c:tx>
          <c:spPr>
            <a:solidFill>
              <a:srgbClr val="7CD3D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Anlysis!$F$5</c:f>
              <c:strCache>
                <c:ptCount val="1"/>
                <c:pt idx="0">
                  <c:v>Classic Cars </c:v>
                </c:pt>
              </c:strCache>
            </c:strRef>
          </c:cat>
          <c:val>
            <c:numRef>
              <c:f>Anlysis!$H$5</c:f>
              <c:numCache>
                <c:formatCode>#,##0</c:formatCode>
                <c:ptCount val="1"/>
                <c:pt idx="0">
                  <c:v>3987.0069910000002</c:v>
                </c:pt>
              </c:numCache>
            </c:numRef>
          </c:val>
          <c:extLst>
            <c:ext xmlns:c16="http://schemas.microsoft.com/office/drawing/2014/chart" uri="{C3380CC4-5D6E-409C-BE32-E72D297353CC}">
              <c16:uniqueId val="{0000000A-8C51-458B-A12B-3EDC66923474}"/>
            </c:ext>
          </c:extLst>
        </c:ser>
        <c:ser>
          <c:idx val="2"/>
          <c:order val="2"/>
          <c:tx>
            <c:strRef>
              <c:f>Anlysis!$I$4</c:f>
              <c:strCache>
                <c:ptCount val="1"/>
                <c:pt idx="0">
                  <c:v> 2005</c:v>
                </c:pt>
              </c:strCache>
            </c:strRef>
          </c:tx>
          <c:spPr>
            <a:solidFill>
              <a:schemeClr val="accent1">
                <a:tint val="65000"/>
              </a:schemeClr>
            </a:solidFill>
            <a:ln>
              <a:noFill/>
            </a:ln>
            <a:effectLst/>
          </c:spPr>
          <c:invertIfNegative val="0"/>
          <c:dPt>
            <c:idx val="0"/>
            <c:invertIfNegative val="0"/>
            <c:bubble3D val="0"/>
            <c:spPr>
              <a:solidFill>
                <a:srgbClr val="33A7B6"/>
              </a:solidFill>
              <a:ln>
                <a:noFill/>
              </a:ln>
              <a:effectLst/>
            </c:spPr>
            <c:extLst>
              <c:ext xmlns:c16="http://schemas.microsoft.com/office/drawing/2014/chart" uri="{C3380CC4-5D6E-409C-BE32-E72D297353CC}">
                <c16:uniqueId val="{00000001-21CA-4DD3-A222-9F0D240B0D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Anlysis!$F$5</c:f>
              <c:strCache>
                <c:ptCount val="1"/>
                <c:pt idx="0">
                  <c:v>Classic Cars </c:v>
                </c:pt>
              </c:strCache>
            </c:strRef>
          </c:cat>
          <c:val>
            <c:numRef>
              <c:f>Anlysis!$I$5</c:f>
              <c:numCache>
                <c:formatCode>#,##0</c:formatCode>
                <c:ptCount val="1"/>
                <c:pt idx="0">
                  <c:v>4230.0206289999996</c:v>
                </c:pt>
              </c:numCache>
            </c:numRef>
          </c:val>
          <c:extLst>
            <c:ext xmlns:c16="http://schemas.microsoft.com/office/drawing/2014/chart" uri="{C3380CC4-5D6E-409C-BE32-E72D297353CC}">
              <c16:uniqueId val="{0000000B-8C51-458B-A12B-3EDC66923474}"/>
            </c:ext>
          </c:extLst>
        </c:ser>
        <c:dLbls>
          <c:dLblPos val="outEnd"/>
          <c:showLegendKey val="0"/>
          <c:showVal val="1"/>
          <c:showCatName val="0"/>
          <c:showSerName val="0"/>
          <c:showPercent val="0"/>
          <c:showBubbleSize val="0"/>
        </c:dLbls>
        <c:gapWidth val="219"/>
        <c:overlap val="-27"/>
        <c:axId val="1493992576"/>
        <c:axId val="1493993536"/>
      </c:barChart>
      <c:catAx>
        <c:axId val="1493992576"/>
        <c:scaling>
          <c:orientation val="minMax"/>
        </c:scaling>
        <c:delete val="1"/>
        <c:axPos val="b"/>
        <c:numFmt formatCode="General" sourceLinked="1"/>
        <c:majorTickMark val="none"/>
        <c:minorTickMark val="none"/>
        <c:tickLblPos val="nextTo"/>
        <c:crossAx val="1493993536"/>
        <c:crosses val="autoZero"/>
        <c:auto val="1"/>
        <c:lblAlgn val="ctr"/>
        <c:lblOffset val="100"/>
        <c:noMultiLvlLbl val="0"/>
      </c:catAx>
      <c:valAx>
        <c:axId val="1493993536"/>
        <c:scaling>
          <c:orientation val="minMax"/>
        </c:scaling>
        <c:delete val="1"/>
        <c:axPos val="l"/>
        <c:numFmt formatCode="#,##0" sourceLinked="1"/>
        <c:majorTickMark val="none"/>
        <c:minorTickMark val="none"/>
        <c:tickLblPos val="nextTo"/>
        <c:crossAx val="1493992576"/>
        <c:crosses val="autoZero"/>
        <c:crossBetween val="between"/>
      </c:valAx>
      <c:spPr>
        <a:noFill/>
        <a:ln>
          <a:noFill/>
        </a:ln>
        <a:effectLst/>
      </c:spPr>
    </c:plotArea>
    <c:legend>
      <c:legendPos val="t"/>
      <c:layout>
        <c:manualLayout>
          <c:xMode val="edge"/>
          <c:yMode val="edge"/>
          <c:x val="1.5436063366188491E-2"/>
          <c:y val="0.161716450918056"/>
          <c:w val="0.31472935872889224"/>
          <c:h val="0.173028275730124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 5 companies dashbord by Dhananjoy.xlsm]Anlysis!PivotTable24</c:name>
    <c:fmtId val="9"/>
  </c:pivotSource>
  <c:chart>
    <c:autoTitleDeleted val="1"/>
    <c:pivotFmts>
      <c:pivotFmt>
        <c:idx val="0"/>
        <c:spPr>
          <a:solidFill>
            <a:schemeClr val="accent1"/>
          </a:solidFill>
          <a:ln w="28575" cap="rnd">
            <a:solidFill>
              <a:srgbClr val="7030A0">
                <a:alpha val="94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7030A0">
                <a:alpha val="94000"/>
              </a:srgb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002060">
                <a:alpha val="59000"/>
              </a:srgbClr>
            </a:solidFill>
            <a:round/>
          </a:ln>
          <a:effectLst/>
        </c:spPr>
        <c:marker>
          <c:symbol val="circle"/>
          <c:size val="8"/>
          <c:spPr>
            <a:solidFill>
              <a:srgbClr val="7030A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2060">
                <a:alpha val="59000"/>
              </a:srgbClr>
            </a:solidFill>
            <a:round/>
          </a:ln>
          <a:effectLst/>
        </c:spPr>
        <c:marker>
          <c:symbol val="circle"/>
          <c:size val="10"/>
          <c:spPr>
            <a:solidFill>
              <a:srgbClr val="00B0F0"/>
            </a:solidFill>
            <a:ln w="9525">
              <a:solidFill>
                <a:schemeClr val="accent1"/>
              </a:solidFill>
            </a:ln>
            <a:effectLst/>
          </c:spPr>
        </c:marker>
        <c:dLbl>
          <c:idx val="0"/>
          <c:layout>
            <c:manualLayout>
              <c:x val="-6.0134831460674214E-2"/>
              <c:y val="5.32753718285214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002060">
                <a:alpha val="59000"/>
              </a:srgbClr>
            </a:solidFill>
            <a:round/>
          </a:ln>
          <a:effectLst/>
        </c:spPr>
        <c:marker>
          <c:symbol val="circle"/>
          <c:size val="11"/>
          <c:spPr>
            <a:solidFill>
              <a:srgbClr val="92D050"/>
            </a:solidFill>
            <a:ln w="9525">
              <a:solidFill>
                <a:srgbClr val="92D050">
                  <a:alpha val="73000"/>
                </a:srgbClr>
              </a:solidFill>
            </a:ln>
            <a:effectLst/>
          </c:spPr>
        </c:marker>
      </c:pivotFmt>
      <c:pivotFmt>
        <c:idx val="5"/>
        <c:spPr>
          <a:solidFill>
            <a:schemeClr val="accent1"/>
          </a:solidFill>
          <a:ln w="28575" cap="rnd">
            <a:solidFill>
              <a:srgbClr val="002060">
                <a:alpha val="59000"/>
              </a:srgbClr>
            </a:solidFill>
            <a:round/>
          </a:ln>
          <a:effectLst/>
        </c:spPr>
        <c:marker>
          <c:symbol val="circle"/>
          <c:size val="10"/>
          <c:spPr>
            <a:solidFill>
              <a:srgbClr val="00B050"/>
            </a:solidFill>
            <a:ln w="9525">
              <a:solidFill>
                <a:schemeClr val="accent1"/>
              </a:solidFill>
            </a:ln>
            <a:effectLst/>
          </c:spPr>
        </c:marker>
      </c:pivotFmt>
      <c:pivotFmt>
        <c:idx val="6"/>
        <c:spPr>
          <a:solidFill>
            <a:schemeClr val="accent1"/>
          </a:solidFill>
          <a:ln w="28575" cap="rnd">
            <a:solidFill>
              <a:srgbClr val="002060">
                <a:alpha val="59000"/>
              </a:srgbClr>
            </a:solidFill>
            <a:round/>
          </a:ln>
          <a:effectLst/>
        </c:spPr>
        <c:marker>
          <c:symbol val="circle"/>
          <c:size val="10"/>
          <c:spPr>
            <a:solidFill>
              <a:srgbClr val="FFFF00"/>
            </a:solidFill>
            <a:ln w="9525">
              <a:solidFill>
                <a:schemeClr val="accent1"/>
              </a:solidFill>
            </a:ln>
            <a:effectLst/>
          </c:spPr>
        </c:marker>
      </c:pivotFmt>
      <c:pivotFmt>
        <c:idx val="7"/>
        <c:spPr>
          <a:solidFill>
            <a:schemeClr val="accent1"/>
          </a:solidFill>
          <a:ln w="28575" cap="rnd">
            <a:solidFill>
              <a:srgbClr val="002060">
                <a:alpha val="59000"/>
              </a:srgbClr>
            </a:solidFill>
            <a:round/>
          </a:ln>
          <a:effectLst/>
        </c:spPr>
        <c:marker>
          <c:symbol val="circle"/>
          <c:size val="10"/>
          <c:spPr>
            <a:solidFill>
              <a:schemeClr val="accent2"/>
            </a:solidFill>
            <a:ln w="9525">
              <a:solidFill>
                <a:schemeClr val="accent1"/>
              </a:solidFill>
            </a:ln>
            <a:effectLst/>
          </c:spPr>
        </c:marker>
      </c:pivotFmt>
      <c:pivotFmt>
        <c:idx val="8"/>
        <c:spPr>
          <a:solidFill>
            <a:schemeClr val="accent1"/>
          </a:solidFill>
          <a:ln w="28575" cap="rnd">
            <a:solidFill>
              <a:srgbClr val="002060">
                <a:alpha val="59000"/>
              </a:srgbClr>
            </a:solidFill>
            <a:round/>
          </a:ln>
          <a:effectLst/>
        </c:spPr>
        <c:marker>
          <c:symbol val="circle"/>
          <c:size val="8"/>
          <c:spPr>
            <a:solidFill>
              <a:srgbClr val="7030A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002060">
                <a:alpha val="59000"/>
              </a:srgbClr>
            </a:solidFill>
            <a:round/>
          </a:ln>
          <a:effectLst/>
        </c:spPr>
        <c:marker>
          <c:symbol val="circle"/>
          <c:size val="11"/>
          <c:spPr>
            <a:solidFill>
              <a:srgbClr val="92D050"/>
            </a:solidFill>
            <a:ln w="9525">
              <a:solidFill>
                <a:srgbClr val="92D050">
                  <a:alpha val="73000"/>
                </a:srgbClr>
              </a:solidFill>
            </a:ln>
            <a:effectLst/>
          </c:spPr>
        </c:marker>
      </c:pivotFmt>
      <c:pivotFmt>
        <c:idx val="10"/>
        <c:spPr>
          <a:solidFill>
            <a:schemeClr val="accent1"/>
          </a:solidFill>
          <a:ln w="28575" cap="rnd">
            <a:solidFill>
              <a:srgbClr val="002060">
                <a:alpha val="59000"/>
              </a:srgbClr>
            </a:solidFill>
            <a:round/>
          </a:ln>
          <a:effectLst/>
        </c:spPr>
        <c:marker>
          <c:symbol val="circle"/>
          <c:size val="10"/>
          <c:spPr>
            <a:solidFill>
              <a:srgbClr val="00B050"/>
            </a:solidFill>
            <a:ln w="9525">
              <a:solidFill>
                <a:schemeClr val="accent1"/>
              </a:solidFill>
            </a:ln>
            <a:effectLst/>
          </c:spPr>
        </c:marker>
      </c:pivotFmt>
      <c:pivotFmt>
        <c:idx val="11"/>
        <c:spPr>
          <a:solidFill>
            <a:schemeClr val="accent1"/>
          </a:solidFill>
          <a:ln w="28575" cap="rnd">
            <a:solidFill>
              <a:srgbClr val="002060">
                <a:alpha val="59000"/>
              </a:srgbClr>
            </a:solidFill>
            <a:round/>
          </a:ln>
          <a:effectLst/>
        </c:spPr>
        <c:marker>
          <c:symbol val="circle"/>
          <c:size val="10"/>
          <c:spPr>
            <a:solidFill>
              <a:srgbClr val="00B0F0"/>
            </a:solidFill>
            <a:ln w="9525">
              <a:solidFill>
                <a:schemeClr val="accent1"/>
              </a:solidFill>
            </a:ln>
            <a:effectLst/>
          </c:spPr>
        </c:marker>
        <c:dLbl>
          <c:idx val="0"/>
          <c:layout>
            <c:manualLayout>
              <c:x val="-6.0134831460674214E-2"/>
              <c:y val="5.32753718285214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2060">
                <a:alpha val="59000"/>
              </a:srgbClr>
            </a:solidFill>
            <a:round/>
          </a:ln>
          <a:effectLst/>
        </c:spPr>
        <c:marker>
          <c:symbol val="circle"/>
          <c:size val="10"/>
          <c:spPr>
            <a:solidFill>
              <a:srgbClr val="FFFF00"/>
            </a:solidFill>
            <a:ln w="9525">
              <a:solidFill>
                <a:schemeClr val="accent1"/>
              </a:solidFill>
            </a:ln>
            <a:effectLst/>
          </c:spPr>
        </c:marker>
      </c:pivotFmt>
      <c:pivotFmt>
        <c:idx val="13"/>
        <c:spPr>
          <a:solidFill>
            <a:schemeClr val="accent1"/>
          </a:solidFill>
          <a:ln w="28575" cap="rnd">
            <a:solidFill>
              <a:srgbClr val="002060">
                <a:alpha val="59000"/>
              </a:srgbClr>
            </a:solidFill>
            <a:round/>
          </a:ln>
          <a:effectLst/>
        </c:spPr>
        <c:marker>
          <c:symbol val="circle"/>
          <c:size val="10"/>
          <c:spPr>
            <a:solidFill>
              <a:schemeClr val="accent2"/>
            </a:solidFill>
            <a:ln w="9525">
              <a:solidFill>
                <a:schemeClr val="accent1"/>
              </a:solidFill>
            </a:ln>
            <a:effectLst/>
          </c:spPr>
        </c:marker>
      </c:pivotFmt>
      <c:pivotFmt>
        <c:idx val="14"/>
        <c:spPr>
          <a:solidFill>
            <a:schemeClr val="accent1"/>
          </a:solidFill>
          <a:ln w="22225" cap="rnd" cmpd="sng">
            <a:solidFill>
              <a:schemeClr val="tx1">
                <a:alpha val="68000"/>
              </a:schemeClr>
            </a:solidFill>
            <a:round/>
          </a:ln>
          <a:effectLst/>
        </c:spPr>
        <c:marker>
          <c:symbol val="circle"/>
          <c:size val="10"/>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2225" cap="rnd" cmpd="sng">
            <a:solidFill>
              <a:schemeClr val="tx1">
                <a:alpha val="68000"/>
              </a:schemeClr>
            </a:solidFill>
            <a:round/>
          </a:ln>
          <a:effectLst/>
        </c:spPr>
        <c:marker>
          <c:symbol val="circle"/>
          <c:size val="10"/>
          <c:spPr>
            <a:solidFill>
              <a:schemeClr val="accent4">
                <a:lumMod val="60000"/>
                <a:lumOff val="40000"/>
              </a:schemeClr>
            </a:solidFill>
            <a:ln w="9525">
              <a:solidFill>
                <a:schemeClr val="accent1"/>
              </a:solidFill>
            </a:ln>
            <a:effectLst/>
          </c:spPr>
        </c:marker>
      </c:pivotFmt>
      <c:pivotFmt>
        <c:idx val="16"/>
        <c:spPr>
          <a:solidFill>
            <a:schemeClr val="accent1"/>
          </a:solidFill>
          <a:ln w="22225" cap="rnd" cmpd="sng">
            <a:solidFill>
              <a:schemeClr val="tx1">
                <a:alpha val="68000"/>
              </a:schemeClr>
            </a:solidFill>
            <a:round/>
          </a:ln>
          <a:effectLst/>
        </c:spPr>
        <c:marker>
          <c:symbol val="circle"/>
          <c:size val="10"/>
          <c:spPr>
            <a:solidFill>
              <a:srgbClr val="00B050"/>
            </a:solidFill>
            <a:ln w="9525">
              <a:solidFill>
                <a:schemeClr val="accent1"/>
              </a:solidFill>
            </a:ln>
            <a:effectLst/>
          </c:spPr>
        </c:marker>
      </c:pivotFmt>
      <c:pivotFmt>
        <c:idx val="17"/>
        <c:spPr>
          <a:solidFill>
            <a:schemeClr val="accent1"/>
          </a:solidFill>
          <a:ln w="22225" cap="rnd" cmpd="sng">
            <a:solidFill>
              <a:schemeClr val="tx1">
                <a:alpha val="68000"/>
              </a:schemeClr>
            </a:solidFill>
            <a:round/>
          </a:ln>
          <a:effectLst/>
        </c:spPr>
        <c:marker>
          <c:symbol val="circle"/>
          <c:size val="10"/>
          <c:spPr>
            <a:solidFill>
              <a:srgbClr val="7030A0"/>
            </a:solidFill>
            <a:ln w="9525">
              <a:solidFill>
                <a:schemeClr val="accent1"/>
              </a:solidFill>
            </a:ln>
            <a:effectLst/>
          </c:spPr>
        </c:marker>
      </c:pivotFmt>
      <c:pivotFmt>
        <c:idx val="18"/>
        <c:spPr>
          <a:solidFill>
            <a:schemeClr val="accent1"/>
          </a:solidFill>
          <a:ln w="22225" cap="rnd" cmpd="sng">
            <a:solidFill>
              <a:schemeClr val="tx1">
                <a:alpha val="68000"/>
              </a:schemeClr>
            </a:solidFill>
            <a:round/>
          </a:ln>
          <a:effectLst/>
        </c:spPr>
        <c:marker>
          <c:symbol val="circle"/>
          <c:size val="10"/>
          <c:spPr>
            <a:solidFill>
              <a:schemeClr val="accent6"/>
            </a:solidFill>
            <a:ln w="9525">
              <a:solidFill>
                <a:schemeClr val="accent1"/>
              </a:solidFill>
            </a:ln>
            <a:effectLst/>
          </c:spPr>
        </c:marker>
      </c:pivotFmt>
      <c:pivotFmt>
        <c:idx val="19"/>
        <c:spPr>
          <a:solidFill>
            <a:schemeClr val="accent1"/>
          </a:solidFill>
          <a:ln w="22225" cap="rnd" cmpd="sng">
            <a:solidFill>
              <a:schemeClr val="tx1">
                <a:alpha val="68000"/>
              </a:schemeClr>
            </a:solidFill>
            <a:round/>
          </a:ln>
          <a:effectLst/>
        </c:spPr>
        <c:marker>
          <c:symbol val="circle"/>
          <c:size val="10"/>
          <c:spPr>
            <a:solidFill>
              <a:schemeClr val="accent2"/>
            </a:solidFill>
            <a:ln w="9525">
              <a:solidFill>
                <a:schemeClr val="accent1"/>
              </a:solidFill>
            </a:ln>
            <a:effectLst/>
          </c:spPr>
        </c:marker>
      </c:pivotFmt>
    </c:pivotFmts>
    <c:plotArea>
      <c:layout>
        <c:manualLayout>
          <c:layoutTarget val="inner"/>
          <c:xMode val="edge"/>
          <c:yMode val="edge"/>
          <c:x val="4.0263057005514762E-3"/>
          <c:y val="0.21800925925925929"/>
          <c:w val="0.93888888888888888"/>
          <c:h val="0.77736111111111106"/>
        </c:manualLayout>
      </c:layout>
      <c:lineChart>
        <c:grouping val="standard"/>
        <c:varyColors val="0"/>
        <c:dLbls>
          <c:dLblPos val="t"/>
          <c:showLegendKey val="0"/>
          <c:showVal val="1"/>
          <c:showCatName val="0"/>
          <c:showSerName val="0"/>
          <c:showPercent val="0"/>
          <c:showBubbleSize val="0"/>
        </c:dLbls>
        <c:marker val="1"/>
        <c:smooth val="0"/>
        <c:axId val="197566159"/>
        <c:axId val="197574799"/>
      </c:lineChart>
      <c:catAx>
        <c:axId val="197566159"/>
        <c:scaling>
          <c:orientation val="minMax"/>
        </c:scaling>
        <c:delete val="1"/>
        <c:axPos val="b"/>
        <c:numFmt formatCode="General" sourceLinked="1"/>
        <c:majorTickMark val="out"/>
        <c:minorTickMark val="none"/>
        <c:tickLblPos val="nextTo"/>
        <c:crossAx val="197574799"/>
        <c:crosses val="autoZero"/>
        <c:auto val="1"/>
        <c:lblAlgn val="ctr"/>
        <c:lblOffset val="100"/>
        <c:noMultiLvlLbl val="0"/>
      </c:catAx>
      <c:valAx>
        <c:axId val="197574799"/>
        <c:scaling>
          <c:orientation val="minMax"/>
          <c:max val="0.30000000000000004"/>
          <c:min val="-0.5"/>
        </c:scaling>
        <c:delete val="1"/>
        <c:axPos val="l"/>
        <c:numFmt formatCode="0.00%" sourceLinked="1"/>
        <c:majorTickMark val="out"/>
        <c:minorTickMark val="none"/>
        <c:tickLblPos val="nextTo"/>
        <c:crossAx val="197566159"/>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ln w="3175">
                <a:solidFill>
                  <a:schemeClr val="tx1">
                    <a:lumMod val="95000"/>
                    <a:lumOff val="5000"/>
                    <a:alpha val="43000"/>
                  </a:schemeClr>
                </a:solidFill>
              </a:ln>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889824840910729E-2"/>
          <c:y val="9.1111111111111115E-2"/>
          <c:w val="0.93888888888888888"/>
          <c:h val="0.89814814814814814"/>
        </c:manualLayout>
      </c:layout>
      <c:barChart>
        <c:barDir val="bar"/>
        <c:grouping val="clustered"/>
        <c:varyColors val="0"/>
        <c:ser>
          <c:idx val="0"/>
          <c:order val="0"/>
          <c:tx>
            <c:strRef>
              <c:f>Anlysis!$CE$5</c:f>
              <c:strCache>
                <c:ptCount val="1"/>
                <c:pt idx="0">
                  <c:v>Revenue</c:v>
                </c:pt>
              </c:strCache>
            </c:strRef>
          </c:tx>
          <c:spPr>
            <a:solidFill>
              <a:srgbClr val="9EC3C6"/>
            </a:solidFill>
            <a:ln>
              <a:noFill/>
            </a:ln>
            <a:effectLst/>
          </c:spPr>
          <c:invertIfNegative val="0"/>
          <c:dPt>
            <c:idx val="0"/>
            <c:invertIfNegative val="0"/>
            <c:bubble3D val="0"/>
            <c:spPr>
              <a:solidFill>
                <a:srgbClr val="33A7B6"/>
              </a:solidFill>
              <a:ln>
                <a:noFill/>
              </a:ln>
              <a:effectLst/>
            </c:spPr>
            <c:extLst>
              <c:ext xmlns:c16="http://schemas.microsoft.com/office/drawing/2014/chart" uri="{C3380CC4-5D6E-409C-BE32-E72D297353CC}">
                <c16:uniqueId val="{00000000-FACD-4A0A-BF29-66CB16A991AF}"/>
              </c:ext>
            </c:extLst>
          </c:dPt>
          <c:dPt>
            <c:idx val="1"/>
            <c:invertIfNegative val="0"/>
            <c:bubble3D val="0"/>
            <c:spPr>
              <a:solidFill>
                <a:srgbClr val="33A7B6"/>
              </a:solidFill>
              <a:ln>
                <a:noFill/>
              </a:ln>
              <a:effectLst/>
            </c:spPr>
            <c:extLst>
              <c:ext xmlns:c16="http://schemas.microsoft.com/office/drawing/2014/chart" uri="{C3380CC4-5D6E-409C-BE32-E72D297353CC}">
                <c16:uniqueId val="{00000001-FACD-4A0A-BF29-66CB16A991AF}"/>
              </c:ext>
            </c:extLst>
          </c:dPt>
          <c:dPt>
            <c:idx val="2"/>
            <c:invertIfNegative val="0"/>
            <c:bubble3D val="0"/>
            <c:spPr>
              <a:solidFill>
                <a:srgbClr val="33A7B6"/>
              </a:solidFill>
              <a:ln>
                <a:noFill/>
              </a:ln>
              <a:effectLst/>
            </c:spPr>
            <c:extLst>
              <c:ext xmlns:c16="http://schemas.microsoft.com/office/drawing/2014/chart" uri="{C3380CC4-5D6E-409C-BE32-E72D297353CC}">
                <c16:uniqueId val="{00000002-FACD-4A0A-BF29-66CB16A991AF}"/>
              </c:ext>
            </c:extLst>
          </c:dPt>
          <c:dPt>
            <c:idx val="3"/>
            <c:invertIfNegative val="0"/>
            <c:bubble3D val="0"/>
            <c:spPr>
              <a:solidFill>
                <a:srgbClr val="33A7B6"/>
              </a:solidFill>
              <a:ln>
                <a:noFill/>
              </a:ln>
              <a:effectLst/>
            </c:spPr>
            <c:extLst>
              <c:ext xmlns:c16="http://schemas.microsoft.com/office/drawing/2014/chart" uri="{C3380CC4-5D6E-409C-BE32-E72D297353CC}">
                <c16:uniqueId val="{00000003-FACD-4A0A-BF29-66CB16A991AF}"/>
              </c:ext>
            </c:extLst>
          </c:dPt>
          <c:dPt>
            <c:idx val="4"/>
            <c:invertIfNegative val="0"/>
            <c:bubble3D val="0"/>
            <c:spPr>
              <a:solidFill>
                <a:srgbClr val="33A7B6"/>
              </a:solidFill>
              <a:ln>
                <a:noFill/>
              </a:ln>
              <a:effectLst/>
            </c:spPr>
            <c:extLst>
              <c:ext xmlns:c16="http://schemas.microsoft.com/office/drawing/2014/chart" uri="{C3380CC4-5D6E-409C-BE32-E72D297353CC}">
                <c16:uniqueId val="{00000004-FACD-4A0A-BF29-66CB16A991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Anlysis!$CD$6:$CD$10</c:f>
              <c:strCache>
                <c:ptCount val="5"/>
                <c:pt idx="0">
                  <c:v>Euro Shopping Channel</c:v>
                </c:pt>
                <c:pt idx="1">
                  <c:v>Mini Gifts Distributors Ltd.</c:v>
                </c:pt>
                <c:pt idx="2">
                  <c:v>Australian Collectors, Co.</c:v>
                </c:pt>
                <c:pt idx="3">
                  <c:v>La Rochelle Gifts</c:v>
                </c:pt>
                <c:pt idx="4">
                  <c:v>Muscle Machine Inc</c:v>
                </c:pt>
              </c:strCache>
            </c:strRef>
          </c:cat>
          <c:val>
            <c:numRef>
              <c:f>Anlysis!$CE$6:$CE$10</c:f>
              <c:numCache>
                <c:formatCode>[$$-C09]#,##0</c:formatCode>
                <c:ptCount val="5"/>
                <c:pt idx="0">
                  <c:v>1532390.1</c:v>
                </c:pt>
                <c:pt idx="1">
                  <c:v>1061174.3799999999</c:v>
                </c:pt>
                <c:pt idx="2">
                  <c:v>164575.87</c:v>
                </c:pt>
                <c:pt idx="3">
                  <c:v>153909.82</c:v>
                </c:pt>
                <c:pt idx="4">
                  <c:v>151782.04</c:v>
                </c:pt>
              </c:numCache>
            </c:numRef>
          </c:val>
          <c:extLst>
            <c:ext xmlns:c16="http://schemas.microsoft.com/office/drawing/2014/chart" uri="{C3380CC4-5D6E-409C-BE32-E72D297353CC}">
              <c16:uniqueId val="{00000000-90F9-4701-A322-082C311A0C61}"/>
            </c:ext>
          </c:extLst>
        </c:ser>
        <c:ser>
          <c:idx val="1"/>
          <c:order val="1"/>
          <c:tx>
            <c:strRef>
              <c:f>Anlysis!$CF$5</c:f>
              <c:strCache>
                <c:ptCount val="1"/>
                <c:pt idx="0">
                  <c:v>Highlight</c:v>
                </c:pt>
              </c:strCache>
            </c:strRef>
          </c:tx>
          <c:spPr>
            <a:solidFill>
              <a:schemeClr val="accent4"/>
            </a:solidFill>
            <a:ln>
              <a:noFill/>
            </a:ln>
            <a:effectLst/>
          </c:spPr>
          <c:invertIfNegative val="0"/>
          <c:cat>
            <c:strRef>
              <c:f>Anlysis!$CD$6:$CD$10</c:f>
              <c:strCache>
                <c:ptCount val="5"/>
                <c:pt idx="0">
                  <c:v>Euro Shopping Channel</c:v>
                </c:pt>
                <c:pt idx="1">
                  <c:v>Mini Gifts Distributors Ltd.</c:v>
                </c:pt>
                <c:pt idx="2">
                  <c:v>Australian Collectors, Co.</c:v>
                </c:pt>
                <c:pt idx="3">
                  <c:v>La Rochelle Gifts</c:v>
                </c:pt>
                <c:pt idx="4">
                  <c:v>Muscle Machine Inc</c:v>
                </c:pt>
              </c:strCache>
            </c:strRef>
          </c:cat>
          <c:val>
            <c:numRef>
              <c:f>Anlysis!$CF$6:$CF$10</c:f>
              <c:numCache>
                <c:formatCode>[$$-C09]#,##0</c:formatCode>
                <c:ptCount val="5"/>
                <c:pt idx="0">
                  <c:v>0</c:v>
                </c:pt>
                <c:pt idx="1">
                  <c:v>0</c:v>
                </c:pt>
                <c:pt idx="2">
                  <c:v>0</c:v>
                </c:pt>
                <c:pt idx="3">
                  <c:v>0</c:v>
                </c:pt>
                <c:pt idx="4">
                  <c:v>0</c:v>
                </c:pt>
              </c:numCache>
            </c:numRef>
          </c:val>
          <c:extLst>
            <c:ext xmlns:c16="http://schemas.microsoft.com/office/drawing/2014/chart" uri="{C3380CC4-5D6E-409C-BE32-E72D297353CC}">
              <c16:uniqueId val="{00000001-90F9-4701-A322-082C311A0C61}"/>
            </c:ext>
          </c:extLst>
        </c:ser>
        <c:dLbls>
          <c:showLegendKey val="0"/>
          <c:showVal val="0"/>
          <c:showCatName val="0"/>
          <c:showSerName val="0"/>
          <c:showPercent val="0"/>
          <c:showBubbleSize val="0"/>
        </c:dLbls>
        <c:gapWidth val="20"/>
        <c:overlap val="100"/>
        <c:axId val="287527375"/>
        <c:axId val="287513935"/>
      </c:barChart>
      <c:catAx>
        <c:axId val="287527375"/>
        <c:scaling>
          <c:orientation val="maxMin"/>
        </c:scaling>
        <c:delete val="1"/>
        <c:axPos val="l"/>
        <c:numFmt formatCode="General" sourceLinked="1"/>
        <c:majorTickMark val="none"/>
        <c:minorTickMark val="none"/>
        <c:tickLblPos val="nextTo"/>
        <c:crossAx val="287513935"/>
        <c:crosses val="autoZero"/>
        <c:auto val="1"/>
        <c:lblAlgn val="ctr"/>
        <c:lblOffset val="100"/>
        <c:noMultiLvlLbl val="0"/>
      </c:catAx>
      <c:valAx>
        <c:axId val="287513935"/>
        <c:scaling>
          <c:orientation val="minMax"/>
        </c:scaling>
        <c:delete val="1"/>
        <c:axPos val="t"/>
        <c:numFmt formatCode="[$$-C09]#,##0" sourceLinked="1"/>
        <c:majorTickMark val="none"/>
        <c:minorTickMark val="none"/>
        <c:tickLblPos val="nextTo"/>
        <c:crossAx val="2875273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[Top 5 companies dashbord by Dhananjoy.xlsm]Anlysis!PivotTable12</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8"/>
          <c:spPr>
            <a:solidFill>
              <a:srgbClr val="11289D"/>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206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30A9B4"/>
            </a:solidFill>
            <a:round/>
          </a:ln>
          <a:effectLst/>
        </c:spPr>
        <c:marker>
          <c:symbol val="circle"/>
          <c:size val="8"/>
          <c:spPr>
            <a:solidFill>
              <a:srgbClr val="30A9B4"/>
            </a:solidFill>
            <a:ln w="9525">
              <a:no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baseline="0">
                  <a:solidFill>
                    <a:srgbClr val="30A9B4"/>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rgbClr val="30A9B4"/>
            </a:solidFill>
            <a:round/>
          </a:ln>
          <a:effectLst/>
        </c:spPr>
        <c:marker>
          <c:symbol val="circle"/>
          <c:size val="8"/>
          <c:spPr>
            <a:solidFill>
              <a:srgbClr val="30A9B4"/>
            </a:solidFill>
            <a:ln w="9525">
              <a:noFill/>
            </a:ln>
            <a:effectLst/>
          </c:spPr>
        </c:marker>
        <c:dLbl>
          <c:idx val="0"/>
          <c:layout>
            <c:manualLayout>
              <c:x val="-5.7100271002710028E-2"/>
              <c:y val="6.23711670187568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baseline="0">
                  <a:solidFill>
                    <a:srgbClr val="11289D"/>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8"/>
          <c:spPr>
            <a:solidFill>
              <a:srgbClr val="11289D"/>
            </a:solidFill>
            <a:ln w="9525">
              <a:noFill/>
            </a:ln>
            <a:effectLst/>
          </c:spPr>
        </c:marker>
        <c:dLbl>
          <c:idx val="0"/>
          <c:layout>
            <c:manualLayout>
              <c:x val="-6.2520325203252083E-2"/>
              <c:y val="-0.19779143460725945"/>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30A9B4"/>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rgbClr val="30A9B4"/>
            </a:solidFill>
            <a:round/>
          </a:ln>
          <a:effectLst/>
        </c:spPr>
        <c:marker>
          <c:symbol val="circle"/>
          <c:size val="8"/>
          <c:spPr>
            <a:solidFill>
              <a:srgbClr val="30A9B4"/>
            </a:solidFill>
            <a:ln w="9525">
              <a:noFill/>
            </a:ln>
            <a:effectLst/>
          </c:spPr>
        </c:marker>
        <c:dLbl>
          <c:idx val="0"/>
          <c:layout>
            <c:manualLayout>
              <c:x val="-2.6266991016366856E-2"/>
              <c:y val="9.4891492222008836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baseline="0">
                  <a:solidFill>
                    <a:srgbClr val="30A9B4"/>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8"/>
          <c:spPr>
            <a:solidFill>
              <a:srgbClr val="11289D"/>
            </a:solidFill>
            <a:ln w="9525">
              <a:noFill/>
            </a:ln>
            <a:effectLst/>
          </c:spPr>
        </c:marker>
        <c:dLbl>
          <c:idx val="0"/>
          <c:layout>
            <c:manualLayout>
              <c:x val="-4.5237180718263874E-2"/>
              <c:y val="-0.1056505131980453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206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8"/>
          <c:spPr>
            <a:solidFill>
              <a:srgbClr val="11289D"/>
            </a:solidFill>
            <a:ln w="9525">
              <a:noFill/>
            </a:ln>
            <a:effectLst/>
          </c:spPr>
        </c:marker>
        <c:dLbl>
          <c:idx val="0"/>
          <c:layout>
            <c:manualLayout>
              <c:x val="-6.5230352303523087E-2"/>
              <c:y val="5.6951112818214696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206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8"/>
          <c:spPr>
            <a:solidFill>
              <a:srgbClr val="11289D"/>
            </a:solidFill>
            <a:ln w="9525">
              <a:noFill/>
            </a:ln>
            <a:effectLst/>
          </c:spPr>
        </c:marker>
      </c:pivotFmt>
      <c:pivotFmt>
        <c:idx val="12"/>
        <c:spPr>
          <a:ln w="28575" cap="rnd">
            <a:solidFill>
              <a:schemeClr val="accent1"/>
            </a:solidFill>
            <a:round/>
          </a:ln>
          <a:effectLst/>
        </c:spPr>
        <c:marker>
          <c:symbol val="circle"/>
          <c:size val="8"/>
          <c:spPr>
            <a:solidFill>
              <a:srgbClr val="11289D"/>
            </a:solidFill>
            <a:ln w="9525">
              <a:noFill/>
            </a:ln>
            <a:effectLst/>
          </c:spPr>
        </c:marker>
        <c:dLbl>
          <c:idx val="0"/>
          <c:layout>
            <c:manualLayout>
              <c:x val="-5.7100271002710028E-2"/>
              <c:y val="6.2371167018756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206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rgbClr val="30A9B4"/>
            </a:solidFill>
            <a:round/>
          </a:ln>
          <a:effectLst/>
        </c:spPr>
        <c:marker>
          <c:symbol val="circle"/>
          <c:size val="8"/>
          <c:spPr>
            <a:solidFill>
              <a:srgbClr val="30A9B4"/>
            </a:solidFill>
            <a:ln w="9525">
              <a:noFill/>
            </a:ln>
            <a:effectLst/>
          </c:spPr>
        </c:marker>
        <c:dLbl>
          <c:idx val="0"/>
          <c:layout>
            <c:manualLayout>
              <c:x val="-7.0907965772571108E-2"/>
              <c:y val="7.3658536585365753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baseline="0">
                  <a:solidFill>
                    <a:srgbClr val="30A9B4"/>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30A9B4"/>
            </a:solidFill>
            <a:round/>
          </a:ln>
          <a:effectLst/>
        </c:spPr>
        <c:marker>
          <c:symbol val="circle"/>
          <c:size val="8"/>
          <c:spPr>
            <a:solidFill>
              <a:srgbClr val="30A9B4"/>
            </a:solidFill>
            <a:ln w="9525">
              <a:noFill/>
            </a:ln>
            <a:effectLst/>
          </c:spPr>
        </c:marker>
      </c:pivotFmt>
      <c:pivotFmt>
        <c:idx val="15"/>
        <c:spPr>
          <a:ln w="28575" cap="rnd">
            <a:solidFill>
              <a:srgbClr val="30A9B4"/>
            </a:solidFill>
            <a:round/>
          </a:ln>
          <a:effectLst/>
        </c:spPr>
        <c:marker>
          <c:symbol val="circle"/>
          <c:size val="8"/>
          <c:spPr>
            <a:solidFill>
              <a:srgbClr val="30A9B4"/>
            </a:solidFill>
            <a:ln w="9525">
              <a:noFill/>
            </a:ln>
            <a:effectLst/>
          </c:spPr>
        </c:marker>
      </c:pivotFmt>
    </c:pivotFmts>
    <c:plotArea>
      <c:layout>
        <c:manualLayout>
          <c:layoutTarget val="inner"/>
          <c:xMode val="edge"/>
          <c:yMode val="edge"/>
          <c:x val="2.7091441156062388E-4"/>
          <c:y val="0.15790953841613173"/>
          <c:w val="0.96666666666666667"/>
          <c:h val="0.84071923301254015"/>
        </c:manualLayout>
      </c:layout>
      <c:lineChart>
        <c:grouping val="standard"/>
        <c:varyColors val="0"/>
        <c:ser>
          <c:idx val="0"/>
          <c:order val="0"/>
          <c:tx>
            <c:strRef>
              <c:f>Anlysis!$CU$5</c:f>
              <c:strCache>
                <c:ptCount val="1"/>
                <c:pt idx="0">
                  <c:v>Sum of Sell Growth(2003-2004)</c:v>
                </c:pt>
              </c:strCache>
            </c:strRef>
          </c:tx>
          <c:spPr>
            <a:ln w="28575" cap="rnd">
              <a:solidFill>
                <a:schemeClr val="accent1"/>
              </a:solidFill>
              <a:round/>
            </a:ln>
            <a:effectLst/>
          </c:spPr>
          <c:marker>
            <c:symbol val="circle"/>
            <c:size val="8"/>
            <c:spPr>
              <a:solidFill>
                <a:srgbClr val="11289D"/>
              </a:solidFill>
              <a:ln w="9525">
                <a:noFill/>
              </a:ln>
              <a:effectLst/>
            </c:spPr>
          </c:marker>
          <c:dPt>
            <c:idx val="1"/>
            <c:marker>
              <c:symbol val="circle"/>
              <c:size val="8"/>
              <c:spPr>
                <a:solidFill>
                  <a:srgbClr val="11289D"/>
                </a:solidFill>
                <a:ln w="9525">
                  <a:noFill/>
                </a:ln>
                <a:effectLst/>
              </c:spPr>
            </c:marker>
            <c:bubble3D val="0"/>
            <c:spPr>
              <a:ln w="28575" cap="rnd">
                <a:solidFill>
                  <a:schemeClr val="accent1"/>
                </a:solidFill>
                <a:round/>
              </a:ln>
              <a:effectLst/>
            </c:spPr>
          </c:dPt>
          <c:dPt>
            <c:idx val="2"/>
            <c:marker>
              <c:symbol val="circle"/>
              <c:size val="8"/>
              <c:spPr>
                <a:solidFill>
                  <a:srgbClr val="11289D"/>
                </a:solidFill>
                <a:ln w="9525">
                  <a:noFill/>
                </a:ln>
                <a:effectLst/>
              </c:spPr>
            </c:marker>
            <c:bubble3D val="0"/>
            <c:spPr>
              <a:ln w="28575" cap="rnd">
                <a:solidFill>
                  <a:schemeClr val="accent1"/>
                </a:solidFill>
                <a:round/>
              </a:ln>
              <a:effectLst/>
            </c:spPr>
          </c:dPt>
          <c:dPt>
            <c:idx val="3"/>
            <c:marker>
              <c:symbol val="circle"/>
              <c:size val="8"/>
              <c:spPr>
                <a:solidFill>
                  <a:srgbClr val="11289D"/>
                </a:solidFill>
                <a:ln w="9525">
                  <a:noFill/>
                </a:ln>
                <a:effectLst/>
              </c:spPr>
            </c:marker>
            <c:bubble3D val="0"/>
            <c:spPr>
              <a:ln w="28575" cap="rnd">
                <a:solidFill>
                  <a:schemeClr val="accent1"/>
                </a:solidFill>
                <a:round/>
              </a:ln>
              <a:effectLst/>
            </c:spPr>
          </c:dPt>
          <c:dPt>
            <c:idx val="4"/>
            <c:marker>
              <c:symbol val="circle"/>
              <c:size val="8"/>
              <c:spPr>
                <a:solidFill>
                  <a:srgbClr val="11289D"/>
                </a:solidFill>
                <a:ln w="9525">
                  <a:noFill/>
                </a:ln>
                <a:effectLst/>
              </c:spPr>
            </c:marker>
            <c:bubble3D val="0"/>
            <c:spPr>
              <a:ln w="28575" cap="rnd">
                <a:solidFill>
                  <a:schemeClr val="accent1"/>
                </a:solidFill>
                <a:round/>
              </a:ln>
              <a:effectLst/>
            </c:spPr>
          </c:dPt>
          <c:dLbls>
            <c:dLbl>
              <c:idx val="1"/>
              <c:layout>
                <c:manualLayout>
                  <c:x val="-6.5230352303523087E-2"/>
                  <c:y val="5.6951112818214696E-2"/>
                </c:manualLayout>
              </c:layout>
              <c:dLblPos val="r"/>
              <c:showLegendKey val="0"/>
              <c:showVal val="1"/>
              <c:showCatName val="0"/>
              <c:showSerName val="0"/>
              <c:showPercent val="0"/>
              <c:showBubbleSize val="0"/>
              <c:extLst>
                <c:ext xmlns:c15="http://schemas.microsoft.com/office/drawing/2012/chart" uri="{CE6537A1-D6FC-4f65-9D91-7224C49458BB}"/>
              </c:extLst>
            </c:dLbl>
            <c:dLbl>
              <c:idx val="2"/>
              <c:layout>
                <c:manualLayout>
                  <c:x val="-6.2520325203252083E-2"/>
                  <c:y val="-0.19779143460725945"/>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30A9B4"/>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dLbl>
              <c:idx val="3"/>
              <c:layout>
                <c:manualLayout>
                  <c:x val="-5.7100271002710028E-2"/>
                  <c:y val="6.23711670187568E-2"/>
                </c:manualLayout>
              </c:layout>
              <c:dLblPos val="r"/>
              <c:showLegendKey val="0"/>
              <c:showVal val="1"/>
              <c:showCatName val="0"/>
              <c:showSerName val="0"/>
              <c:showPercent val="0"/>
              <c:showBubbleSize val="0"/>
              <c:extLst>
                <c:ext xmlns:c15="http://schemas.microsoft.com/office/drawing/2012/chart" uri="{CE6537A1-D6FC-4f65-9D91-7224C49458BB}"/>
              </c:extLst>
            </c:dLbl>
            <c:dLbl>
              <c:idx val="4"/>
              <c:layout>
                <c:manualLayout>
                  <c:x val="-4.5237180718263874E-2"/>
                  <c:y val="-0.10565051319804536"/>
                </c:manualLayout>
              </c:layout>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00206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Anlysis!$CT$6:$CT$10</c:f>
              <c:strCache>
                <c:ptCount val="5"/>
                <c:pt idx="0">
                  <c:v>Australian Collectors, Co.</c:v>
                </c:pt>
                <c:pt idx="1">
                  <c:v>Euro Shopping Channel</c:v>
                </c:pt>
                <c:pt idx="2">
                  <c:v>La Rochelle Gifts</c:v>
                </c:pt>
                <c:pt idx="3">
                  <c:v>Mini Gifts Distributors Ltd.</c:v>
                </c:pt>
                <c:pt idx="4">
                  <c:v>Muscle Machine Inc</c:v>
                </c:pt>
              </c:strCache>
            </c:strRef>
          </c:cat>
          <c:val>
            <c:numRef>
              <c:f>Anlysis!$CU$6:$CU$10</c:f>
              <c:numCache>
                <c:formatCode>0.00%</c:formatCode>
                <c:ptCount val="5"/>
                <c:pt idx="0">
                  <c:v>0.21122853133205244</c:v>
                </c:pt>
                <c:pt idx="1">
                  <c:v>-1.2720801588225462E-2</c:v>
                </c:pt>
                <c:pt idx="2">
                  <c:v>-2.4752197159839215E-2</c:v>
                </c:pt>
                <c:pt idx="3">
                  <c:v>-4.2926690255234712E-2</c:v>
                </c:pt>
                <c:pt idx="4">
                  <c:v>8.948551740980043E-2</c:v>
                </c:pt>
              </c:numCache>
            </c:numRef>
          </c:val>
          <c:smooth val="0"/>
          <c:extLst>
            <c:ext xmlns:c16="http://schemas.microsoft.com/office/drawing/2014/chart" uri="{C3380CC4-5D6E-409C-BE32-E72D297353CC}">
              <c16:uniqueId val="{00000000-E32C-41B8-8DF5-6C0EBAC8C768}"/>
            </c:ext>
          </c:extLst>
        </c:ser>
        <c:ser>
          <c:idx val="1"/>
          <c:order val="1"/>
          <c:tx>
            <c:strRef>
              <c:f>Anlysis!$CV$5</c:f>
              <c:strCache>
                <c:ptCount val="1"/>
                <c:pt idx="0">
                  <c:v>Sum of Sell Growth(2004-2005)</c:v>
                </c:pt>
              </c:strCache>
            </c:strRef>
          </c:tx>
          <c:spPr>
            <a:ln w="28575" cap="rnd">
              <a:solidFill>
                <a:srgbClr val="30A9B4"/>
              </a:solidFill>
              <a:round/>
            </a:ln>
            <a:effectLst/>
          </c:spPr>
          <c:marker>
            <c:symbol val="circle"/>
            <c:size val="8"/>
            <c:spPr>
              <a:solidFill>
                <a:srgbClr val="30A9B4"/>
              </a:solidFill>
              <a:ln w="9525">
                <a:noFill/>
              </a:ln>
              <a:effectLst/>
            </c:spPr>
          </c:marker>
          <c:dPt>
            <c:idx val="0"/>
            <c:marker>
              <c:symbol val="circle"/>
              <c:size val="8"/>
              <c:spPr>
                <a:solidFill>
                  <a:srgbClr val="30A9B4"/>
                </a:solidFill>
                <a:ln w="9525">
                  <a:noFill/>
                </a:ln>
                <a:effectLst/>
              </c:spPr>
            </c:marker>
            <c:bubble3D val="0"/>
            <c:spPr>
              <a:ln w="28575" cap="rnd">
                <a:solidFill>
                  <a:srgbClr val="30A9B4"/>
                </a:solidFill>
                <a:round/>
              </a:ln>
              <a:effectLst/>
            </c:spPr>
          </c:dPt>
          <c:dPt>
            <c:idx val="2"/>
            <c:marker>
              <c:symbol val="circle"/>
              <c:size val="8"/>
              <c:spPr>
                <a:solidFill>
                  <a:srgbClr val="30A9B4"/>
                </a:solidFill>
                <a:ln w="9525">
                  <a:noFill/>
                </a:ln>
                <a:effectLst/>
              </c:spPr>
            </c:marker>
            <c:bubble3D val="0"/>
            <c:spPr>
              <a:ln w="28575" cap="rnd">
                <a:solidFill>
                  <a:srgbClr val="30A9B4"/>
                </a:solidFill>
                <a:round/>
              </a:ln>
              <a:effectLst/>
            </c:spPr>
          </c:dPt>
          <c:dPt>
            <c:idx val="4"/>
            <c:marker>
              <c:symbol val="circle"/>
              <c:size val="8"/>
              <c:spPr>
                <a:solidFill>
                  <a:srgbClr val="30A9B4"/>
                </a:solidFill>
                <a:ln w="9525">
                  <a:noFill/>
                </a:ln>
                <a:effectLst/>
              </c:spPr>
            </c:marker>
            <c:bubble3D val="0"/>
            <c:spPr>
              <a:ln w="28575" cap="rnd">
                <a:solidFill>
                  <a:srgbClr val="30A9B4"/>
                </a:solidFill>
                <a:round/>
              </a:ln>
              <a:effectLst/>
            </c:spPr>
          </c:dPt>
          <c:dLbls>
            <c:dLbl>
              <c:idx val="0"/>
              <c:layout>
                <c:manualLayout>
                  <c:x val="-7.0907965772571108E-2"/>
                  <c:y val="7.3658536585365753E-2"/>
                </c:manualLayout>
              </c:layout>
              <c:dLblPos val="r"/>
              <c:showLegendKey val="0"/>
              <c:showVal val="1"/>
              <c:showCatName val="0"/>
              <c:showSerName val="0"/>
              <c:showPercent val="0"/>
              <c:showBubbleSize val="0"/>
              <c:extLst>
                <c:ext xmlns:c15="http://schemas.microsoft.com/office/drawing/2012/chart" uri="{CE6537A1-D6FC-4f65-9D91-7224C49458BB}"/>
              </c:extLst>
            </c:dLbl>
            <c:dLbl>
              <c:idx val="2"/>
              <c:layout>
                <c:manualLayout>
                  <c:x val="-5.7100271002710028E-2"/>
                  <c:y val="6.23711670187568E-2"/>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baseline="0">
                      <a:solidFill>
                        <a:srgbClr val="11289D"/>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dLbl>
              <c:idx val="4"/>
              <c:layout>
                <c:manualLayout>
                  <c:x val="-2.6266991016366856E-2"/>
                  <c:y val="9.4891492222008836E-2"/>
                </c:manualLayout>
              </c:layout>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0">
                <a:spAutoFit/>
              </a:bodyPr>
              <a:lstStyle/>
              <a:p>
                <a:pPr algn="ctr" rtl="0">
                  <a:defRPr lang="en-US" sz="1050" b="1" i="0" u="none" strike="noStrike" kern="1200" baseline="0">
                    <a:solidFill>
                      <a:srgbClr val="30A9B4"/>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Anlysis!$CT$6:$CT$10</c:f>
              <c:strCache>
                <c:ptCount val="5"/>
                <c:pt idx="0">
                  <c:v>Australian Collectors, Co.</c:v>
                </c:pt>
                <c:pt idx="1">
                  <c:v>Euro Shopping Channel</c:v>
                </c:pt>
                <c:pt idx="2">
                  <c:v>La Rochelle Gifts</c:v>
                </c:pt>
                <c:pt idx="3">
                  <c:v>Mini Gifts Distributors Ltd.</c:v>
                </c:pt>
                <c:pt idx="4">
                  <c:v>Muscle Machine Inc</c:v>
                </c:pt>
              </c:strCache>
            </c:strRef>
          </c:cat>
          <c:val>
            <c:numRef>
              <c:f>Anlysis!$CV$6:$CV$10</c:f>
              <c:numCache>
                <c:formatCode>0.00%</c:formatCode>
                <c:ptCount val="5"/>
                <c:pt idx="0">
                  <c:v>-2.3131880831333548E-2</c:v>
                </c:pt>
                <c:pt idx="1">
                  <c:v>0.24610891586684086</c:v>
                </c:pt>
                <c:pt idx="2">
                  <c:v>-2.5129115866809628E-2</c:v>
                </c:pt>
                <c:pt idx="3">
                  <c:v>0.20412322827977608</c:v>
                </c:pt>
                <c:pt idx="4">
                  <c:v>4.092648109585395E-2</c:v>
                </c:pt>
              </c:numCache>
            </c:numRef>
          </c:val>
          <c:smooth val="0"/>
          <c:extLst>
            <c:ext xmlns:c16="http://schemas.microsoft.com/office/drawing/2014/chart" uri="{C3380CC4-5D6E-409C-BE32-E72D297353CC}">
              <c16:uniqueId val="{00000001-E32C-41B8-8DF5-6C0EBAC8C768}"/>
            </c:ext>
          </c:extLst>
        </c:ser>
        <c:dLbls>
          <c:dLblPos val="t"/>
          <c:showLegendKey val="0"/>
          <c:showVal val="1"/>
          <c:showCatName val="0"/>
          <c:showSerName val="0"/>
          <c:showPercent val="0"/>
          <c:showBubbleSize val="0"/>
        </c:dLbls>
        <c:marker val="1"/>
        <c:smooth val="0"/>
        <c:axId val="1348804096"/>
        <c:axId val="1348814656"/>
      </c:lineChart>
      <c:catAx>
        <c:axId val="1348804096"/>
        <c:scaling>
          <c:orientation val="minMax"/>
        </c:scaling>
        <c:delete val="1"/>
        <c:axPos val="b"/>
        <c:numFmt formatCode="General" sourceLinked="1"/>
        <c:majorTickMark val="out"/>
        <c:minorTickMark val="none"/>
        <c:tickLblPos val="nextTo"/>
        <c:crossAx val="1348814656"/>
        <c:crosses val="autoZero"/>
        <c:auto val="1"/>
        <c:lblAlgn val="ctr"/>
        <c:lblOffset val="100"/>
        <c:noMultiLvlLbl val="0"/>
      </c:catAx>
      <c:valAx>
        <c:axId val="1348814656"/>
        <c:scaling>
          <c:orientation val="minMax"/>
        </c:scaling>
        <c:delete val="1"/>
        <c:axPos val="l"/>
        <c:numFmt formatCode="0.00%" sourceLinked="1"/>
        <c:majorTickMark val="out"/>
        <c:minorTickMark val="none"/>
        <c:tickLblPos val="nextTo"/>
        <c:crossAx val="1348804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CBEE290-7880-4F3C-9EAC-4E5D3BC3A3D7}">
  <sheetPr codeName="Chart1"/>
  <sheetViews>
    <sheetView zoomScale="68" workbookViewId="0" zoomToFit="1"/>
  </sheetViews>
  <pageMargins left="0.7" right="0.7" top="0.75" bottom="0.75" header="0.3" footer="0.3"/>
  <drawing r:id="rId1"/>
</chartsheet>
</file>

<file path=xl/ctrlProps/ctrlProp1.xml><?xml version="1.0" encoding="utf-8"?>
<formControlPr xmlns="http://schemas.microsoft.com/office/spreadsheetml/2009/9/main" objectType="Radio" firstButton="1" fmlaLink="Anlysis!$AQ$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image" Target="../media/image1.jpg"/><Relationship Id="rId6" Type="http://schemas.openxmlformats.org/officeDocument/2006/relationships/chart" Target="../charts/chart4.xml"/><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absoluteAnchor>
    <xdr:pos x="0" y="0"/>
    <xdr:ext cx="8684559" cy="6303309"/>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88</xdr:col>
      <xdr:colOff>457200</xdr:colOff>
      <xdr:row>7</xdr:row>
      <xdr:rowOff>104775</xdr:rowOff>
    </xdr:from>
    <xdr:to>
      <xdr:col>89</xdr:col>
      <xdr:colOff>457200</xdr:colOff>
      <xdr:row>20</xdr:row>
      <xdr:rowOff>152400</xdr:rowOff>
    </xdr:to>
    <mc:AlternateContent xmlns:mc="http://schemas.openxmlformats.org/markup-compatibility/2006" xmlns:a14="http://schemas.microsoft.com/office/drawing/2010/main">
      <mc:Choice Requires="a14">
        <xdr:graphicFrame macro="">
          <xdr:nvGraphicFramePr>
            <xdr:cNvPr id="16" name="Company">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81095850" y="1438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87</xdr:col>
      <xdr:colOff>152400</xdr:colOff>
      <xdr:row>5</xdr:row>
      <xdr:rowOff>85725</xdr:rowOff>
    </xdr:from>
    <xdr:to>
      <xdr:col>88</xdr:col>
      <xdr:colOff>152400</xdr:colOff>
      <xdr:row>18</xdr:row>
      <xdr:rowOff>133350</xdr:rowOff>
    </xdr:to>
    <mc:AlternateContent xmlns:mc="http://schemas.openxmlformats.org/markup-compatibility/2006" xmlns:a14="http://schemas.microsoft.com/office/drawing/2010/main">
      <mc:Choice Requires="a14">
        <xdr:graphicFrame macro="">
          <xdr:nvGraphicFramePr>
            <xdr:cNvPr id="5" name="Company 3">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Company 3"/>
            </a:graphicData>
          </a:graphic>
        </xdr:graphicFrame>
      </mc:Choice>
      <mc:Fallback xmlns="">
        <xdr:sp macro="" textlink="">
          <xdr:nvSpPr>
            <xdr:cNvPr id="0" name=""/>
            <xdr:cNvSpPr>
              <a:spLocks noTextEdit="1"/>
            </xdr:cNvSpPr>
          </xdr:nvSpPr>
          <xdr:spPr>
            <a:xfrm>
              <a:off x="78962250" y="1038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574443</xdr:colOff>
      <xdr:row>30</xdr:row>
      <xdr:rowOff>126318</xdr:rowOff>
    </xdr:from>
    <xdr:to>
      <xdr:col>20</xdr:col>
      <xdr:colOff>616857</xdr:colOff>
      <xdr:row>33</xdr:row>
      <xdr:rowOff>64408</xdr:rowOff>
    </xdr:to>
    <xdr:sp macro="" textlink="">
      <xdr:nvSpPr>
        <xdr:cNvPr id="1053" name="Rectangle 1052">
          <a:extLst>
            <a:ext uri="{FF2B5EF4-FFF2-40B4-BE49-F238E27FC236}">
              <a16:creationId xmlns:a16="http://schemas.microsoft.com/office/drawing/2014/main" id="{00000000-0008-0000-0200-00001D040000}"/>
            </a:ext>
          </a:extLst>
        </xdr:cNvPr>
        <xdr:cNvSpPr/>
      </xdr:nvSpPr>
      <xdr:spPr>
        <a:xfrm>
          <a:off x="5082943" y="5569175"/>
          <a:ext cx="8415343" cy="482376"/>
        </a:xfrm>
        <a:prstGeom prst="rect">
          <a:avLst/>
        </a:prstGeom>
        <a:solidFill>
          <a:srgbClr val="7CD3DC"/>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clientData/>
  </xdr:twoCellAnchor>
  <xdr:twoCellAnchor>
    <xdr:from>
      <xdr:col>15</xdr:col>
      <xdr:colOff>342900</xdr:colOff>
      <xdr:row>12</xdr:row>
      <xdr:rowOff>76201</xdr:rowOff>
    </xdr:from>
    <xdr:to>
      <xdr:col>20</xdr:col>
      <xdr:colOff>600075</xdr:colOff>
      <xdr:row>27</xdr:row>
      <xdr:rowOff>163287</xdr:rowOff>
    </xdr:to>
    <xdr:sp macro="" textlink="">
      <xdr:nvSpPr>
        <xdr:cNvPr id="105" name="Rectangle 104">
          <a:extLst>
            <a:ext uri="{FF2B5EF4-FFF2-40B4-BE49-F238E27FC236}">
              <a16:creationId xmlns:a16="http://schemas.microsoft.com/office/drawing/2014/main" id="{00000000-0008-0000-0200-000069000000}"/>
            </a:ext>
          </a:extLst>
        </xdr:cNvPr>
        <xdr:cNvSpPr/>
      </xdr:nvSpPr>
      <xdr:spPr>
        <a:xfrm>
          <a:off x="10003971" y="2253344"/>
          <a:ext cx="3477533" cy="280851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20</xdr:col>
      <xdr:colOff>598714</xdr:colOff>
      <xdr:row>5</xdr:row>
      <xdr:rowOff>56445</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80578"/>
        <a:stretch/>
      </xdr:blipFill>
      <xdr:spPr>
        <a:xfrm>
          <a:off x="0" y="0"/>
          <a:ext cx="13439825" cy="973667"/>
        </a:xfrm>
        <a:prstGeom prst="rect">
          <a:avLst/>
        </a:prstGeom>
      </xdr:spPr>
    </xdr:pic>
    <xdr:clientData/>
  </xdr:twoCellAnchor>
  <xdr:twoCellAnchor>
    <xdr:from>
      <xdr:col>0</xdr:col>
      <xdr:colOff>47625</xdr:colOff>
      <xdr:row>12</xdr:row>
      <xdr:rowOff>85725</xdr:rowOff>
    </xdr:from>
    <xdr:to>
      <xdr:col>15</xdr:col>
      <xdr:colOff>285750</xdr:colOff>
      <xdr:row>14</xdr:row>
      <xdr:rowOff>114300</xdr:rowOff>
    </xdr:to>
    <xdr:sp macro="" textlink="">
      <xdr:nvSpPr>
        <xdr:cNvPr id="37" name="Rectangle: Rounded Corners 36">
          <a:extLst>
            <a:ext uri="{FF2B5EF4-FFF2-40B4-BE49-F238E27FC236}">
              <a16:creationId xmlns:a16="http://schemas.microsoft.com/office/drawing/2014/main" id="{00000000-0008-0000-0200-000025000000}"/>
            </a:ext>
          </a:extLst>
        </xdr:cNvPr>
        <xdr:cNvSpPr/>
      </xdr:nvSpPr>
      <xdr:spPr>
        <a:xfrm>
          <a:off x="47625" y="2371725"/>
          <a:ext cx="9382125" cy="409575"/>
        </a:xfrm>
        <a:prstGeom prst="roundRect">
          <a:avLst/>
        </a:prstGeom>
        <a:solidFill>
          <a:schemeClr val="bg1"/>
        </a:solidFill>
        <a:ln w="190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342902</xdr:colOff>
      <xdr:row>12</xdr:row>
      <xdr:rowOff>85725</xdr:rowOff>
    </xdr:from>
    <xdr:to>
      <xdr:col>21</xdr:col>
      <xdr:colOff>9526</xdr:colOff>
      <xdr:row>14</xdr:row>
      <xdr:rowOff>142875</xdr:rowOff>
    </xdr:to>
    <xdr:grpSp>
      <xdr:nvGrpSpPr>
        <xdr:cNvPr id="1029" name="Group 1028">
          <a:extLst>
            <a:ext uri="{FF2B5EF4-FFF2-40B4-BE49-F238E27FC236}">
              <a16:creationId xmlns:a16="http://schemas.microsoft.com/office/drawing/2014/main" id="{00000000-0008-0000-0200-000005040000}"/>
            </a:ext>
          </a:extLst>
        </xdr:cNvPr>
        <xdr:cNvGrpSpPr/>
      </xdr:nvGrpSpPr>
      <xdr:grpSpPr>
        <a:xfrm>
          <a:off x="9973735" y="2287058"/>
          <a:ext cx="3509432" cy="424039"/>
          <a:chOff x="3305175" y="9048750"/>
          <a:chExt cx="4181476" cy="504824"/>
        </a:xfrm>
        <a:solidFill>
          <a:schemeClr val="tx1">
            <a:lumMod val="95000"/>
            <a:lumOff val="5000"/>
          </a:schemeClr>
        </a:solidFill>
      </xdr:grpSpPr>
      <xdr:sp macro="" textlink="">
        <xdr:nvSpPr>
          <xdr:cNvPr id="1030" name="Rectangle 1029">
            <a:extLst>
              <a:ext uri="{FF2B5EF4-FFF2-40B4-BE49-F238E27FC236}">
                <a16:creationId xmlns:a16="http://schemas.microsoft.com/office/drawing/2014/main" id="{00000000-0008-0000-0200-000006040000}"/>
              </a:ext>
            </a:extLst>
          </xdr:cNvPr>
          <xdr:cNvSpPr/>
        </xdr:nvSpPr>
        <xdr:spPr>
          <a:xfrm>
            <a:off x="3314701" y="9048750"/>
            <a:ext cx="4171950" cy="438150"/>
          </a:xfrm>
          <a:prstGeom prst="rect">
            <a:avLst/>
          </a:prstGeom>
          <a:grp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sp macro="" textlink="">
        <xdr:nvSpPr>
          <xdr:cNvPr id="1031" name="Rectangle 1030">
            <a:extLst>
              <a:ext uri="{FF2B5EF4-FFF2-40B4-BE49-F238E27FC236}">
                <a16:creationId xmlns:a16="http://schemas.microsoft.com/office/drawing/2014/main" id="{00000000-0008-0000-0200-000007040000}"/>
              </a:ext>
            </a:extLst>
          </xdr:cNvPr>
          <xdr:cNvSpPr/>
        </xdr:nvSpPr>
        <xdr:spPr>
          <a:xfrm>
            <a:off x="3305175" y="9507855"/>
            <a:ext cx="4181475" cy="45719"/>
          </a:xfrm>
          <a:prstGeom prst="rect">
            <a:avLst/>
          </a:prstGeom>
          <a:grp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542925</xdr:colOff>
      <xdr:row>14</xdr:row>
      <xdr:rowOff>161924</xdr:rowOff>
    </xdr:from>
    <xdr:to>
      <xdr:col>15</xdr:col>
      <xdr:colOff>247650</xdr:colOff>
      <xdr:row>27</xdr:row>
      <xdr:rowOff>163226</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5051425" y="2701924"/>
          <a:ext cx="4857296" cy="235987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552450</xdr:colOff>
      <xdr:row>14</xdr:row>
      <xdr:rowOff>190499</xdr:rowOff>
    </xdr:from>
    <xdr:to>
      <xdr:col>15</xdr:col>
      <xdr:colOff>257175</xdr:colOff>
      <xdr:row>16</xdr:row>
      <xdr:rowOff>180974</xdr:rowOff>
    </xdr:to>
    <xdr:grpSp>
      <xdr:nvGrpSpPr>
        <xdr:cNvPr id="127" name="Group 126">
          <a:extLst>
            <a:ext uri="{FF2B5EF4-FFF2-40B4-BE49-F238E27FC236}">
              <a16:creationId xmlns:a16="http://schemas.microsoft.com/office/drawing/2014/main" id="{00000000-0008-0000-0200-00007F000000}"/>
            </a:ext>
          </a:extLst>
        </xdr:cNvPr>
        <xdr:cNvGrpSpPr/>
      </xdr:nvGrpSpPr>
      <xdr:grpSpPr>
        <a:xfrm>
          <a:off x="5046839" y="2752371"/>
          <a:ext cx="4841169" cy="363714"/>
          <a:chOff x="3305175" y="9048750"/>
          <a:chExt cx="4181476" cy="504824"/>
        </a:xfrm>
        <a:solidFill>
          <a:schemeClr val="tx1">
            <a:lumMod val="95000"/>
            <a:lumOff val="5000"/>
          </a:schemeClr>
        </a:solidFill>
      </xdr:grpSpPr>
      <xdr:sp macro="" textlink="">
        <xdr:nvSpPr>
          <xdr:cNvPr id="1024" name="Rectangle 1023">
            <a:extLst>
              <a:ext uri="{FF2B5EF4-FFF2-40B4-BE49-F238E27FC236}">
                <a16:creationId xmlns:a16="http://schemas.microsoft.com/office/drawing/2014/main" id="{00000000-0008-0000-0200-000000040000}"/>
              </a:ext>
            </a:extLst>
          </xdr:cNvPr>
          <xdr:cNvSpPr/>
        </xdr:nvSpPr>
        <xdr:spPr>
          <a:xfrm>
            <a:off x="3314701" y="9048750"/>
            <a:ext cx="4171950" cy="438150"/>
          </a:xfrm>
          <a:prstGeom prst="rect">
            <a:avLst/>
          </a:prstGeom>
          <a:grp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sp macro="" textlink="">
        <xdr:nvSpPr>
          <xdr:cNvPr id="1027" name="Rectangle 1026">
            <a:extLst>
              <a:ext uri="{FF2B5EF4-FFF2-40B4-BE49-F238E27FC236}">
                <a16:creationId xmlns:a16="http://schemas.microsoft.com/office/drawing/2014/main" id="{00000000-0008-0000-0200-000003040000}"/>
              </a:ext>
            </a:extLst>
          </xdr:cNvPr>
          <xdr:cNvSpPr/>
        </xdr:nvSpPr>
        <xdr:spPr>
          <a:xfrm>
            <a:off x="3305175" y="9507855"/>
            <a:ext cx="4181475" cy="45719"/>
          </a:xfrm>
          <a:prstGeom prst="rect">
            <a:avLst/>
          </a:prstGeom>
          <a:grp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66674</xdr:colOff>
      <xdr:row>14</xdr:row>
      <xdr:rowOff>152402</xdr:rowOff>
    </xdr:from>
    <xdr:to>
      <xdr:col>7</xdr:col>
      <xdr:colOff>457199</xdr:colOff>
      <xdr:row>27</xdr:row>
      <xdr:rowOff>153703</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66674" y="2692402"/>
          <a:ext cx="4899025" cy="2359872"/>
        </a:xfrm>
        <a:prstGeom prst="rect">
          <a:avLst/>
        </a:prstGeom>
        <a:solidFill>
          <a:schemeClr val="bg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77286</xdr:colOff>
      <xdr:row>14</xdr:row>
      <xdr:rowOff>180975</xdr:rowOff>
    </xdr:from>
    <xdr:to>
      <xdr:col>7</xdr:col>
      <xdr:colOff>457200</xdr:colOff>
      <xdr:row>16</xdr:row>
      <xdr:rowOff>130655</xdr:rowOff>
    </xdr:to>
    <xdr:sp macro="" textlink="">
      <xdr:nvSpPr>
        <xdr:cNvPr id="124" name="Rectangle 123">
          <a:extLst>
            <a:ext uri="{FF2B5EF4-FFF2-40B4-BE49-F238E27FC236}">
              <a16:creationId xmlns:a16="http://schemas.microsoft.com/office/drawing/2014/main" id="{00000000-0008-0000-0200-00007C000000}"/>
            </a:ext>
          </a:extLst>
        </xdr:cNvPr>
        <xdr:cNvSpPr/>
      </xdr:nvSpPr>
      <xdr:spPr>
        <a:xfrm>
          <a:off x="77286" y="2847975"/>
          <a:ext cx="4647114" cy="330680"/>
        </a:xfrm>
        <a:prstGeom prst="rect">
          <a:avLst/>
        </a:prstGeom>
        <a:solidFill>
          <a:schemeClr val="bg2">
            <a:lumMod val="10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clientData/>
  </xdr:twoCellAnchor>
  <xdr:twoCellAnchor>
    <xdr:from>
      <xdr:col>0</xdr:col>
      <xdr:colOff>66675</xdr:colOff>
      <xdr:row>16</xdr:row>
      <xdr:rowOff>146470</xdr:rowOff>
    </xdr:from>
    <xdr:to>
      <xdr:col>7</xdr:col>
      <xdr:colOff>457199</xdr:colOff>
      <xdr:row>16</xdr:row>
      <xdr:rowOff>180975</xdr:rowOff>
    </xdr:to>
    <xdr:sp macro="" textlink="">
      <xdr:nvSpPr>
        <xdr:cNvPr id="125" name="Rectangle 124">
          <a:extLst>
            <a:ext uri="{FF2B5EF4-FFF2-40B4-BE49-F238E27FC236}">
              <a16:creationId xmlns:a16="http://schemas.microsoft.com/office/drawing/2014/main" id="{00000000-0008-0000-0200-00007D000000}"/>
            </a:ext>
          </a:extLst>
        </xdr:cNvPr>
        <xdr:cNvSpPr/>
      </xdr:nvSpPr>
      <xdr:spPr>
        <a:xfrm>
          <a:off x="66675" y="3194470"/>
          <a:ext cx="4657724" cy="34505"/>
        </a:xfrm>
        <a:prstGeom prst="rect">
          <a:avLst/>
        </a:prstGeom>
        <a:solidFill>
          <a:schemeClr val="bg2">
            <a:lumMod val="10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29</xdr:row>
      <xdr:rowOff>133350</xdr:rowOff>
    </xdr:from>
    <xdr:to>
      <xdr:col>7</xdr:col>
      <xdr:colOff>447675</xdr:colOff>
      <xdr:row>42</xdr:row>
      <xdr:rowOff>56444</xdr:rowOff>
    </xdr:to>
    <xdr:sp macro="" textlink="">
      <xdr:nvSpPr>
        <xdr:cNvPr id="62" name="Rectangle 61">
          <a:extLst>
            <a:ext uri="{FF2B5EF4-FFF2-40B4-BE49-F238E27FC236}">
              <a16:creationId xmlns:a16="http://schemas.microsoft.com/office/drawing/2014/main" id="{00000000-0008-0000-0200-00003E000000}"/>
            </a:ext>
          </a:extLst>
        </xdr:cNvPr>
        <xdr:cNvSpPr/>
      </xdr:nvSpPr>
      <xdr:spPr>
        <a:xfrm>
          <a:off x="38100" y="5453239"/>
          <a:ext cx="4903964" cy="2307872"/>
        </a:xfrm>
        <a:prstGeom prst="rect">
          <a:avLst/>
        </a:prstGeom>
        <a:solidFill>
          <a:schemeClr val="bg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38100</xdr:colOff>
      <xdr:row>28</xdr:row>
      <xdr:rowOff>79375</xdr:rowOff>
    </xdr:from>
    <xdr:to>
      <xdr:col>7</xdr:col>
      <xdr:colOff>447675</xdr:colOff>
      <xdr:row>30</xdr:row>
      <xdr:rowOff>60325</xdr:rowOff>
    </xdr:to>
    <xdr:grpSp>
      <xdr:nvGrpSpPr>
        <xdr:cNvPr id="122" name="Group 121">
          <a:extLst>
            <a:ext uri="{FF2B5EF4-FFF2-40B4-BE49-F238E27FC236}">
              <a16:creationId xmlns:a16="http://schemas.microsoft.com/office/drawing/2014/main" id="{00000000-0008-0000-0200-00007A000000}"/>
            </a:ext>
          </a:extLst>
        </xdr:cNvPr>
        <xdr:cNvGrpSpPr/>
      </xdr:nvGrpSpPr>
      <xdr:grpSpPr>
        <a:xfrm>
          <a:off x="38100" y="5215819"/>
          <a:ext cx="4903964" cy="347839"/>
          <a:chOff x="3305175" y="9048750"/>
          <a:chExt cx="4181476" cy="504824"/>
        </a:xfrm>
        <a:solidFill>
          <a:schemeClr val="tx1">
            <a:lumMod val="95000"/>
            <a:lumOff val="5000"/>
          </a:schemeClr>
        </a:solidFill>
      </xdr:grpSpPr>
      <xdr:sp macro="" textlink="">
        <xdr:nvSpPr>
          <xdr:cNvPr id="120" name="Rectangle 119">
            <a:extLst>
              <a:ext uri="{FF2B5EF4-FFF2-40B4-BE49-F238E27FC236}">
                <a16:creationId xmlns:a16="http://schemas.microsoft.com/office/drawing/2014/main" id="{00000000-0008-0000-0200-000078000000}"/>
              </a:ext>
            </a:extLst>
          </xdr:cNvPr>
          <xdr:cNvSpPr/>
        </xdr:nvSpPr>
        <xdr:spPr>
          <a:xfrm>
            <a:off x="3314701" y="9048750"/>
            <a:ext cx="4171950" cy="438150"/>
          </a:xfrm>
          <a:prstGeom prst="rect">
            <a:avLst/>
          </a:prstGeom>
          <a:grp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sp macro="" textlink="">
        <xdr:nvSpPr>
          <xdr:cNvPr id="121" name="Rectangle 120">
            <a:extLst>
              <a:ext uri="{FF2B5EF4-FFF2-40B4-BE49-F238E27FC236}">
                <a16:creationId xmlns:a16="http://schemas.microsoft.com/office/drawing/2014/main" id="{00000000-0008-0000-0200-000079000000}"/>
              </a:ext>
            </a:extLst>
          </xdr:cNvPr>
          <xdr:cNvSpPr/>
        </xdr:nvSpPr>
        <xdr:spPr>
          <a:xfrm>
            <a:off x="3305175" y="9507855"/>
            <a:ext cx="4181475" cy="45719"/>
          </a:xfrm>
          <a:prstGeom prst="rect">
            <a:avLst/>
          </a:prstGeom>
          <a:grp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85034</xdr:colOff>
      <xdr:row>12</xdr:row>
      <xdr:rowOff>114300</xdr:rowOff>
    </xdr:from>
    <xdr:to>
      <xdr:col>2</xdr:col>
      <xdr:colOff>123826</xdr:colOff>
      <xdr:row>14</xdr:row>
      <xdr:rowOff>76200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85034" y="2400300"/>
          <a:ext cx="1257992" cy="3429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300"/>
        </a:p>
      </xdr:txBody>
    </xdr:sp>
    <xdr:clientData/>
  </xdr:twoCellAnchor>
  <xdr:twoCellAnchor>
    <xdr:from>
      <xdr:col>0</xdr:col>
      <xdr:colOff>19196</xdr:colOff>
      <xdr:row>6</xdr:row>
      <xdr:rowOff>32039</xdr:rowOff>
    </xdr:from>
    <xdr:to>
      <xdr:col>4</xdr:col>
      <xdr:colOff>57297</xdr:colOff>
      <xdr:row>12</xdr:row>
      <xdr:rowOff>36195</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9196" y="1175039"/>
          <a:ext cx="2476501" cy="1147156"/>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19196</xdr:colOff>
      <xdr:row>5</xdr:row>
      <xdr:rowOff>180975</xdr:rowOff>
    </xdr:from>
    <xdr:to>
      <xdr:col>4</xdr:col>
      <xdr:colOff>57297</xdr:colOff>
      <xdr:row>11</xdr:row>
      <xdr:rowOff>185131</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9196" y="1133475"/>
          <a:ext cx="2476501" cy="1147156"/>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104776</xdr:colOff>
      <xdr:row>5</xdr:row>
      <xdr:rowOff>152400</xdr:rowOff>
    </xdr:from>
    <xdr:to>
      <xdr:col>8</xdr:col>
      <xdr:colOff>314325</xdr:colOff>
      <xdr:row>12</xdr:row>
      <xdr:rowOff>7620</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2672998" y="1069622"/>
          <a:ext cx="2777771" cy="1139331"/>
          <a:chOff x="95252" y="1095375"/>
          <a:chExt cx="2943224" cy="1362075"/>
        </a:xfrm>
      </xdr:grpSpPr>
      <xdr:sp macro="" textlink="">
        <xdr:nvSpPr>
          <xdr:cNvPr id="18" name="Rectangle: Rounded Corners 17">
            <a:extLst>
              <a:ext uri="{FF2B5EF4-FFF2-40B4-BE49-F238E27FC236}">
                <a16:creationId xmlns:a16="http://schemas.microsoft.com/office/drawing/2014/main" id="{00000000-0008-0000-0200-000012000000}"/>
              </a:ext>
            </a:extLst>
          </xdr:cNvPr>
          <xdr:cNvSpPr/>
        </xdr:nvSpPr>
        <xdr:spPr>
          <a:xfrm>
            <a:off x="95252" y="1143000"/>
            <a:ext cx="2943224" cy="13144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95252" y="1095375"/>
            <a:ext cx="2943224" cy="131445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371476</xdr:colOff>
      <xdr:row>5</xdr:row>
      <xdr:rowOff>171450</xdr:rowOff>
    </xdr:from>
    <xdr:to>
      <xdr:col>12</xdr:col>
      <xdr:colOff>533399</xdr:colOff>
      <xdr:row>12</xdr:row>
      <xdr:rowOff>26670</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5507920" y="1088672"/>
          <a:ext cx="2730146" cy="1139331"/>
          <a:chOff x="95252" y="1095375"/>
          <a:chExt cx="2943224" cy="1362075"/>
        </a:xfrm>
      </xdr:grpSpPr>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95252" y="1143000"/>
            <a:ext cx="2943224" cy="13144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95252" y="1095375"/>
            <a:ext cx="2943224" cy="131445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571501</xdr:colOff>
      <xdr:row>5</xdr:row>
      <xdr:rowOff>171450</xdr:rowOff>
    </xdr:from>
    <xdr:to>
      <xdr:col>16</xdr:col>
      <xdr:colOff>542924</xdr:colOff>
      <xdr:row>12</xdr:row>
      <xdr:rowOff>26670</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8276168" y="1088672"/>
          <a:ext cx="2539645" cy="1139331"/>
          <a:chOff x="95252" y="1095375"/>
          <a:chExt cx="2943224" cy="1362075"/>
        </a:xfrm>
      </xdr:grpSpPr>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95252" y="1143000"/>
            <a:ext cx="2943224" cy="13144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95252" y="1095375"/>
            <a:ext cx="2943224" cy="131445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600077</xdr:colOff>
      <xdr:row>5</xdr:row>
      <xdr:rowOff>180975</xdr:rowOff>
    </xdr:from>
    <xdr:to>
      <xdr:col>21</xdr:col>
      <xdr:colOff>9525</xdr:colOff>
      <xdr:row>12</xdr:row>
      <xdr:rowOff>36195</xdr:rowOff>
    </xdr:to>
    <xdr:grpSp>
      <xdr:nvGrpSpPr>
        <xdr:cNvPr id="26" name="Group 25">
          <a:extLst>
            <a:ext uri="{FF2B5EF4-FFF2-40B4-BE49-F238E27FC236}">
              <a16:creationId xmlns:a16="http://schemas.microsoft.com/office/drawing/2014/main" id="{00000000-0008-0000-0200-00001A000000}"/>
            </a:ext>
          </a:extLst>
        </xdr:cNvPr>
        <xdr:cNvGrpSpPr/>
      </xdr:nvGrpSpPr>
      <xdr:grpSpPr>
        <a:xfrm>
          <a:off x="10872966" y="1098197"/>
          <a:ext cx="2610201" cy="1139331"/>
          <a:chOff x="95252" y="1095375"/>
          <a:chExt cx="2943224" cy="1362075"/>
        </a:xfrm>
      </xdr:grpSpPr>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95252" y="1143000"/>
            <a:ext cx="2943224" cy="13144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95252" y="1095375"/>
            <a:ext cx="2943224" cy="1314450"/>
          </a:xfrm>
          <a:prstGeom prst="round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19050</xdr:colOff>
      <xdr:row>6</xdr:row>
      <xdr:rowOff>0</xdr:rowOff>
    </xdr:from>
    <xdr:to>
      <xdr:col>4</xdr:col>
      <xdr:colOff>19343</xdr:colOff>
      <xdr:row>8</xdr:row>
      <xdr:rowOff>38100</xdr:rowOff>
    </xdr:to>
    <xdr:sp macro="" textlink="Sheet1!E7">
      <xdr:nvSpPr>
        <xdr:cNvPr id="40" name="TextBox 39">
          <a:extLst>
            <a:ext uri="{FF2B5EF4-FFF2-40B4-BE49-F238E27FC236}">
              <a16:creationId xmlns:a16="http://schemas.microsoft.com/office/drawing/2014/main" id="{00000000-0008-0000-0200-000028000000}"/>
            </a:ext>
          </a:extLst>
        </xdr:cNvPr>
        <xdr:cNvSpPr txBox="1"/>
      </xdr:nvSpPr>
      <xdr:spPr>
        <a:xfrm>
          <a:off x="19050" y="1143000"/>
          <a:ext cx="2438693" cy="419100"/>
        </a:xfrm>
        <a:prstGeom prst="round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E0C5FF9-099D-4747-9D1B-22AF30BDEEC5}" type="TxLink">
            <a:rPr lang="en-US" sz="1600" b="1">
              <a:solidFill>
                <a:schemeClr val="tx1"/>
              </a:solidFill>
              <a:latin typeface="Roboto" pitchFamily="2" charset="0"/>
              <a:ea typeface="Roboto" pitchFamily="2" charset="0"/>
              <a:cs typeface="+mn-cs"/>
            </a:rPr>
            <a:pPr marL="0" indent="0"/>
            <a:t>Euro Shopping Channel</a:t>
          </a:fld>
          <a:endParaRPr lang="en-US" sz="1600" b="1">
            <a:solidFill>
              <a:schemeClr val="tx1"/>
            </a:solidFill>
            <a:latin typeface="Roboto" pitchFamily="2" charset="0"/>
            <a:ea typeface="Roboto" pitchFamily="2" charset="0"/>
            <a:cs typeface="+mn-cs"/>
          </a:endParaRPr>
        </a:p>
      </xdr:txBody>
    </xdr:sp>
    <xdr:clientData/>
  </xdr:twoCellAnchor>
  <xdr:twoCellAnchor>
    <xdr:from>
      <xdr:col>4</xdr:col>
      <xdr:colOff>95250</xdr:colOff>
      <xdr:row>5</xdr:row>
      <xdr:rowOff>171451</xdr:rowOff>
    </xdr:from>
    <xdr:to>
      <xdr:col>8</xdr:col>
      <xdr:colOff>305602</xdr:colOff>
      <xdr:row>7</xdr:row>
      <xdr:rowOff>152400</xdr:rowOff>
    </xdr:to>
    <xdr:sp macro="" textlink="Sheet1!E8">
      <xdr:nvSpPr>
        <xdr:cNvPr id="41" name="TextBox 40">
          <a:extLst>
            <a:ext uri="{FF2B5EF4-FFF2-40B4-BE49-F238E27FC236}">
              <a16:creationId xmlns:a16="http://schemas.microsoft.com/office/drawing/2014/main" id="{00000000-0008-0000-0200-000029000000}"/>
            </a:ext>
          </a:extLst>
        </xdr:cNvPr>
        <xdr:cNvSpPr txBox="1"/>
      </xdr:nvSpPr>
      <xdr:spPr>
        <a:xfrm>
          <a:off x="2533650" y="1123951"/>
          <a:ext cx="2648752" cy="361949"/>
        </a:xfrm>
        <a:prstGeom prst="roundRect">
          <a:avLst>
            <a:gd name="adj" fmla="val 34211"/>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0ACD0B4-FD5D-466D-8477-395FDA0542EC}" type="TxLink">
            <a:rPr lang="en-US" sz="1600" b="1">
              <a:solidFill>
                <a:schemeClr val="tx1"/>
              </a:solidFill>
              <a:latin typeface="Roboto" pitchFamily="2" charset="0"/>
              <a:ea typeface="Roboto" pitchFamily="2" charset="0"/>
              <a:cs typeface="+mn-cs"/>
            </a:rPr>
            <a:pPr marL="0" indent="0"/>
            <a:t>Mini Gifts Distributors Ltd.</a:t>
          </a:fld>
          <a:endParaRPr lang="en-US" sz="1600" b="1">
            <a:solidFill>
              <a:schemeClr val="tx1"/>
            </a:solidFill>
            <a:latin typeface="Roboto" pitchFamily="2" charset="0"/>
            <a:ea typeface="Roboto" pitchFamily="2" charset="0"/>
            <a:cs typeface="+mn-cs"/>
          </a:endParaRPr>
        </a:p>
      </xdr:txBody>
    </xdr:sp>
    <xdr:clientData/>
  </xdr:twoCellAnchor>
  <xdr:twoCellAnchor>
    <xdr:from>
      <xdr:col>8</xdr:col>
      <xdr:colOff>361949</xdr:colOff>
      <xdr:row>5</xdr:row>
      <xdr:rowOff>180975</xdr:rowOff>
    </xdr:from>
    <xdr:to>
      <xdr:col>12</xdr:col>
      <xdr:colOff>514350</xdr:colOff>
      <xdr:row>8</xdr:row>
      <xdr:rowOff>47625</xdr:rowOff>
    </xdr:to>
    <xdr:sp macro="" textlink="Sheet1!E9">
      <xdr:nvSpPr>
        <xdr:cNvPr id="42" name="TextBox 41">
          <a:extLst>
            <a:ext uri="{FF2B5EF4-FFF2-40B4-BE49-F238E27FC236}">
              <a16:creationId xmlns:a16="http://schemas.microsoft.com/office/drawing/2014/main" id="{00000000-0008-0000-0200-00002A000000}"/>
            </a:ext>
          </a:extLst>
        </xdr:cNvPr>
        <xdr:cNvSpPr txBox="1"/>
      </xdr:nvSpPr>
      <xdr:spPr>
        <a:xfrm>
          <a:off x="5238749" y="1133475"/>
          <a:ext cx="2590801" cy="438150"/>
        </a:xfrm>
        <a:prstGeom prst="roundRect">
          <a:avLst>
            <a:gd name="adj" fmla="val 50000"/>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BC4FEDF-8C0E-4C8C-9624-1C6E65173D30}" type="TxLink">
            <a:rPr lang="en-US" sz="1550" b="1">
              <a:solidFill>
                <a:schemeClr val="tx1"/>
              </a:solidFill>
              <a:latin typeface="Roboto" pitchFamily="2" charset="0"/>
              <a:ea typeface="Roboto" pitchFamily="2" charset="0"/>
              <a:cs typeface="+mn-cs"/>
            </a:rPr>
            <a:pPr marL="0" indent="0"/>
            <a:t>Australian Collectors, Co.</a:t>
          </a:fld>
          <a:endParaRPr lang="en-US" sz="1550" b="1">
            <a:solidFill>
              <a:schemeClr val="tx1"/>
            </a:solidFill>
            <a:latin typeface="Roboto" pitchFamily="2" charset="0"/>
            <a:ea typeface="Roboto" pitchFamily="2" charset="0"/>
            <a:cs typeface="+mn-cs"/>
          </a:endParaRPr>
        </a:p>
      </xdr:txBody>
    </xdr:sp>
    <xdr:clientData/>
  </xdr:twoCellAnchor>
  <xdr:twoCellAnchor>
    <xdr:from>
      <xdr:col>13</xdr:col>
      <xdr:colOff>1</xdr:colOff>
      <xdr:row>6</xdr:row>
      <xdr:rowOff>9524</xdr:rowOff>
    </xdr:from>
    <xdr:to>
      <xdr:col>16</xdr:col>
      <xdr:colOff>497073</xdr:colOff>
      <xdr:row>8</xdr:row>
      <xdr:rowOff>76200</xdr:rowOff>
    </xdr:to>
    <xdr:sp macro="" textlink="Sheet1!E10">
      <xdr:nvSpPr>
        <xdr:cNvPr id="43" name="TextBox 42">
          <a:extLst>
            <a:ext uri="{FF2B5EF4-FFF2-40B4-BE49-F238E27FC236}">
              <a16:creationId xmlns:a16="http://schemas.microsoft.com/office/drawing/2014/main" id="{00000000-0008-0000-0200-00002B000000}"/>
            </a:ext>
          </a:extLst>
        </xdr:cNvPr>
        <xdr:cNvSpPr txBox="1"/>
      </xdr:nvSpPr>
      <xdr:spPr>
        <a:xfrm>
          <a:off x="7924801" y="1152524"/>
          <a:ext cx="2325872" cy="447676"/>
        </a:xfrm>
        <a:prstGeom prst="round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64B90D9-E029-45DA-BBC6-BF9FC396C788}" type="TxLink">
            <a:rPr lang="en-US" sz="1600" b="1">
              <a:solidFill>
                <a:schemeClr val="tx1"/>
              </a:solidFill>
              <a:latin typeface="Roboto" pitchFamily="2" charset="0"/>
              <a:ea typeface="Roboto" pitchFamily="2" charset="0"/>
              <a:cs typeface="+mn-cs"/>
            </a:rPr>
            <a:pPr marL="0" indent="0"/>
            <a:t>La Rochelle Gifts</a:t>
          </a:fld>
          <a:endParaRPr lang="en-US" sz="1600" b="1">
            <a:solidFill>
              <a:schemeClr val="tx1"/>
            </a:solidFill>
            <a:latin typeface="Roboto" pitchFamily="2" charset="0"/>
            <a:ea typeface="Roboto" pitchFamily="2" charset="0"/>
            <a:cs typeface="+mn-cs"/>
          </a:endParaRPr>
        </a:p>
      </xdr:txBody>
    </xdr:sp>
    <xdr:clientData/>
  </xdr:twoCellAnchor>
  <xdr:twoCellAnchor>
    <xdr:from>
      <xdr:col>16</xdr:col>
      <xdr:colOff>600075</xdr:colOff>
      <xdr:row>6</xdr:row>
      <xdr:rowOff>19050</xdr:rowOff>
    </xdr:from>
    <xdr:to>
      <xdr:col>20</xdr:col>
      <xdr:colOff>571500</xdr:colOff>
      <xdr:row>8</xdr:row>
      <xdr:rowOff>95250</xdr:rowOff>
    </xdr:to>
    <xdr:sp macro="" textlink="Sheet1!E11">
      <xdr:nvSpPr>
        <xdr:cNvPr id="44" name="TextBox 43">
          <a:extLst>
            <a:ext uri="{FF2B5EF4-FFF2-40B4-BE49-F238E27FC236}">
              <a16:creationId xmlns:a16="http://schemas.microsoft.com/office/drawing/2014/main" id="{00000000-0008-0000-0200-00002C000000}"/>
            </a:ext>
          </a:extLst>
        </xdr:cNvPr>
        <xdr:cNvSpPr txBox="1"/>
      </xdr:nvSpPr>
      <xdr:spPr>
        <a:xfrm>
          <a:off x="10353675" y="1162050"/>
          <a:ext cx="2409825" cy="457200"/>
        </a:xfrm>
        <a:prstGeom prst="round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189D2BA-FA2E-4684-8750-EDA243BB722C}" type="TxLink">
            <a:rPr lang="en-US" sz="1600" b="1">
              <a:solidFill>
                <a:schemeClr val="tx1"/>
              </a:solidFill>
              <a:latin typeface="Roboto" pitchFamily="2" charset="0"/>
              <a:ea typeface="Roboto" pitchFamily="2" charset="0"/>
              <a:cs typeface="+mn-cs"/>
            </a:rPr>
            <a:pPr marL="0" indent="0"/>
            <a:t>Muscle Machine Inc</a:t>
          </a:fld>
          <a:endParaRPr lang="en-US" sz="1600" b="1">
            <a:solidFill>
              <a:schemeClr val="tx1"/>
            </a:solidFill>
            <a:latin typeface="Roboto" pitchFamily="2" charset="0"/>
            <a:ea typeface="Roboto" pitchFamily="2" charset="0"/>
            <a:cs typeface="+mn-cs"/>
          </a:endParaRPr>
        </a:p>
      </xdr:txBody>
    </xdr:sp>
    <xdr:clientData/>
  </xdr:twoCellAnchor>
  <xdr:twoCellAnchor>
    <xdr:from>
      <xdr:col>0</xdr:col>
      <xdr:colOff>266699</xdr:colOff>
      <xdr:row>8</xdr:row>
      <xdr:rowOff>66674</xdr:rowOff>
    </xdr:from>
    <xdr:to>
      <xdr:col>3</xdr:col>
      <xdr:colOff>161925</xdr:colOff>
      <xdr:row>9</xdr:row>
      <xdr:rowOff>171449</xdr:rowOff>
    </xdr:to>
    <xdr:sp macro="" textlink="Anlysis!AU3">
      <xdr:nvSpPr>
        <xdr:cNvPr id="46" name="TextBox 45">
          <a:extLst>
            <a:ext uri="{FF2B5EF4-FFF2-40B4-BE49-F238E27FC236}">
              <a16:creationId xmlns:a16="http://schemas.microsoft.com/office/drawing/2014/main" id="{00000000-0008-0000-0200-00002E000000}"/>
            </a:ext>
          </a:extLst>
        </xdr:cNvPr>
        <xdr:cNvSpPr txBox="1"/>
      </xdr:nvSpPr>
      <xdr:spPr>
        <a:xfrm>
          <a:off x="266699" y="1590674"/>
          <a:ext cx="172402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B354E3-5309-43D8-8988-F5723DCA34BD}" type="TxLink">
            <a:rPr lang="en-US" sz="12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t>Company Rank: </a:t>
          </a:fld>
          <a:endParaRPr lang="en-US" sz="12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208519</xdr:colOff>
      <xdr:row>12</xdr:row>
      <xdr:rowOff>119062</xdr:rowOff>
    </xdr:from>
    <xdr:to>
      <xdr:col>2</xdr:col>
      <xdr:colOff>93663</xdr:colOff>
      <xdr:row>14</xdr:row>
      <xdr:rowOff>77787</xdr:rowOff>
    </xdr:to>
    <xdr:sp macro="" textlink="Sheet1!E7">
      <xdr:nvSpPr>
        <xdr:cNvPr id="7" name="TextBox 6">
          <a:extLst>
            <a:ext uri="{FF2B5EF4-FFF2-40B4-BE49-F238E27FC236}">
              <a16:creationId xmlns:a16="http://schemas.microsoft.com/office/drawing/2014/main" id="{00000000-0008-0000-0200-000007000000}"/>
            </a:ext>
          </a:extLst>
        </xdr:cNvPr>
        <xdr:cNvSpPr txBox="1"/>
      </xdr:nvSpPr>
      <xdr:spPr>
        <a:xfrm>
          <a:off x="208519" y="2405062"/>
          <a:ext cx="1104344" cy="339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baseline="0">
              <a:solidFill>
                <a:schemeClr val="bg1"/>
              </a:solidFill>
              <a:latin typeface="Roboto" pitchFamily="2" charset="0"/>
              <a:ea typeface="Roboto" pitchFamily="2" charset="0"/>
              <a:cs typeface="+mn-cs"/>
            </a:rPr>
            <a:t>View as:</a:t>
          </a:r>
          <a:endParaRPr lang="en-US" sz="1600" b="1">
            <a:solidFill>
              <a:schemeClr val="bg1"/>
            </a:solidFill>
            <a:latin typeface="Roboto" pitchFamily="2" charset="0"/>
            <a:ea typeface="Roboto" pitchFamily="2" charset="0"/>
            <a:cs typeface="+mn-cs"/>
          </a:endParaRPr>
        </a:p>
      </xdr:txBody>
    </xdr:sp>
    <xdr:clientData/>
  </xdr:twoCellAnchor>
  <xdr:twoCellAnchor>
    <xdr:from>
      <xdr:col>0</xdr:col>
      <xdr:colOff>123824</xdr:colOff>
      <xdr:row>17</xdr:row>
      <xdr:rowOff>85724</xdr:rowOff>
    </xdr:from>
    <xdr:to>
      <xdr:col>7</xdr:col>
      <xdr:colOff>238125</xdr:colOff>
      <xdr:row>28</xdr:row>
      <xdr:rowOff>63500</xdr:rowOff>
    </xdr:to>
    <xdr:graphicFrame macro="">
      <xdr:nvGraphicFramePr>
        <xdr:cNvPr id="58" name="Chart 57">
          <a:extLst>
            <a:ext uri="{FF2B5EF4-FFF2-40B4-BE49-F238E27FC236}">
              <a16:creationId xmlns:a16="http://schemas.microsoft.com/office/drawing/2014/main" id="{00000000-0008-0000-02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xdr:col>
      <xdr:colOff>381000</xdr:colOff>
      <xdr:row>15</xdr:row>
      <xdr:rowOff>9525</xdr:rowOff>
    </xdr:from>
    <xdr:ext cx="2160271" cy="338619"/>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600200" y="2867025"/>
          <a:ext cx="2160271" cy="3386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accent4">
                  <a:lumMod val="60000"/>
                  <a:lumOff val="40000"/>
                </a:schemeClr>
              </a:solidFill>
              <a:latin typeface="Roboto" pitchFamily="2" charset="0"/>
              <a:ea typeface="Roboto" pitchFamily="2" charset="0"/>
              <a:cs typeface="+mn-cs"/>
            </a:rPr>
            <a:t> Sell amount by years</a:t>
          </a:r>
        </a:p>
      </xdr:txBody>
    </xdr:sp>
    <xdr:clientData/>
  </xdr:oneCellAnchor>
  <xdr:oneCellAnchor>
    <xdr:from>
      <xdr:col>17</xdr:col>
      <xdr:colOff>85725</xdr:colOff>
      <xdr:row>12</xdr:row>
      <xdr:rowOff>114300</xdr:rowOff>
    </xdr:from>
    <xdr:ext cx="2143344" cy="307841"/>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0448925" y="2400300"/>
          <a:ext cx="2143344" cy="30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accent4">
                  <a:lumMod val="60000"/>
                  <a:lumOff val="40000"/>
                </a:schemeClr>
              </a:solidFill>
              <a:latin typeface="Roboto" pitchFamily="2" charset="0"/>
              <a:ea typeface="Roboto" pitchFamily="2" charset="0"/>
              <a:cs typeface="+mn-cs"/>
            </a:rPr>
            <a:t>Company</a:t>
          </a:r>
          <a:r>
            <a:rPr lang="en-US" sz="1400" b="1" baseline="0">
              <a:solidFill>
                <a:schemeClr val="accent4">
                  <a:lumMod val="60000"/>
                  <a:lumOff val="40000"/>
                </a:schemeClr>
              </a:solidFill>
              <a:latin typeface="Roboto" pitchFamily="2" charset="0"/>
              <a:ea typeface="Roboto" pitchFamily="2" charset="0"/>
              <a:cs typeface="+mn-cs"/>
            </a:rPr>
            <a:t> revenue</a:t>
          </a:r>
          <a:endParaRPr lang="en-US" sz="1400" b="1">
            <a:solidFill>
              <a:schemeClr val="accent4">
                <a:lumMod val="60000"/>
                <a:lumOff val="40000"/>
              </a:schemeClr>
            </a:solidFill>
            <a:latin typeface="Roboto" pitchFamily="2" charset="0"/>
            <a:ea typeface="Roboto" pitchFamily="2" charset="0"/>
            <a:cs typeface="+mn-cs"/>
          </a:endParaRPr>
        </a:p>
      </xdr:txBody>
    </xdr:sp>
    <xdr:clientData/>
  </xdr:oneCellAnchor>
  <xdr:twoCellAnchor editAs="oneCell">
    <xdr:from>
      <xdr:col>10</xdr:col>
      <xdr:colOff>635000</xdr:colOff>
      <xdr:row>30</xdr:row>
      <xdr:rowOff>135392</xdr:rowOff>
    </xdr:from>
    <xdr:to>
      <xdr:col>20</xdr:col>
      <xdr:colOff>571500</xdr:colOff>
      <xdr:row>33</xdr:row>
      <xdr:rowOff>11113</xdr:rowOff>
    </xdr:to>
    <mc:AlternateContent xmlns:mc="http://schemas.openxmlformats.org/markup-compatibility/2006">
      <mc:Choice xmlns:a14="http://schemas.microsoft.com/office/drawing/2010/main" Requires="a14">
        <xdr:graphicFrame macro="">
          <xdr:nvGraphicFramePr>
            <xdr:cNvPr id="14" name="Products 1">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microsoft.com/office/drawing/2010/slicer">
              <sle:slicer xmlns:sle="http://schemas.microsoft.com/office/drawing/2010/slicer" name="Products 1"/>
            </a:graphicData>
          </a:graphic>
        </xdr:graphicFrame>
      </mc:Choice>
      <mc:Fallback>
        <xdr:sp macro="" textlink="">
          <xdr:nvSpPr>
            <xdr:cNvPr id="0" name=""/>
            <xdr:cNvSpPr>
              <a:spLocks noTextEdit="1"/>
            </xdr:cNvSpPr>
          </xdr:nvSpPr>
          <xdr:spPr>
            <a:xfrm>
              <a:off x="7055556" y="5638725"/>
              <a:ext cx="6357055" cy="4260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10</xdr:col>
      <xdr:colOff>66675</xdr:colOff>
      <xdr:row>14</xdr:row>
      <xdr:rowOff>180975</xdr:rowOff>
    </xdr:from>
    <xdr:ext cx="1980542" cy="307841"/>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6162675" y="2847975"/>
          <a:ext cx="1980542" cy="30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accent4">
                  <a:lumMod val="60000"/>
                  <a:lumOff val="40000"/>
                </a:schemeClr>
              </a:solidFill>
              <a:latin typeface="Roboto" pitchFamily="2" charset="0"/>
              <a:ea typeface="Roboto" pitchFamily="2" charset="0"/>
              <a:cs typeface="+mn-cs"/>
            </a:rPr>
            <a:t>Sells by representitive</a:t>
          </a:r>
        </a:p>
      </xdr:txBody>
    </xdr:sp>
    <xdr:clientData/>
  </xdr:oneCellAnchor>
  <xdr:oneCellAnchor>
    <xdr:from>
      <xdr:col>1</xdr:col>
      <xdr:colOff>466725</xdr:colOff>
      <xdr:row>28</xdr:row>
      <xdr:rowOff>98425</xdr:rowOff>
    </xdr:from>
    <xdr:ext cx="2542619" cy="307841"/>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1110796" y="5178425"/>
          <a:ext cx="2542619" cy="30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accent4">
                  <a:lumMod val="60000"/>
                  <a:lumOff val="40000"/>
                </a:schemeClr>
              </a:solidFill>
              <a:latin typeface="Roboto" pitchFamily="2" charset="0"/>
              <a:ea typeface="Roboto" pitchFamily="2" charset="0"/>
              <a:cs typeface="+mn-cs"/>
            </a:rPr>
            <a:t>Company sell amount growth</a:t>
          </a:r>
        </a:p>
      </xdr:txBody>
    </xdr:sp>
    <xdr:clientData/>
  </xdr:oneCellAnchor>
  <xdr:twoCellAnchor>
    <xdr:from>
      <xdr:col>3</xdr:col>
      <xdr:colOff>6063</xdr:colOff>
      <xdr:row>12</xdr:row>
      <xdr:rowOff>166688</xdr:rowOff>
    </xdr:from>
    <xdr:to>
      <xdr:col>5</xdr:col>
      <xdr:colOff>47169</xdr:colOff>
      <xdr:row>14</xdr:row>
      <xdr:rowOff>14288</xdr:rowOff>
    </xdr:to>
    <xdr:sp macro="" textlink="">
      <xdr:nvSpPr>
        <xdr:cNvPr id="78" name="TextBox 77">
          <a:extLst>
            <a:ext uri="{FF2B5EF4-FFF2-40B4-BE49-F238E27FC236}">
              <a16:creationId xmlns:a16="http://schemas.microsoft.com/office/drawing/2014/main" id="{00000000-0008-0000-0200-00004E000000}"/>
            </a:ext>
          </a:extLst>
        </xdr:cNvPr>
        <xdr:cNvSpPr txBox="1"/>
      </xdr:nvSpPr>
      <xdr:spPr>
        <a:xfrm>
          <a:off x="1839626" y="2452688"/>
          <a:ext cx="1263481"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latin typeface="Arial" panose="020B0604020202020204" pitchFamily="34" charset="0"/>
              <a:cs typeface="Arial" panose="020B0604020202020204" pitchFamily="34" charset="0"/>
            </a:rPr>
            <a:t>Sell</a:t>
          </a:r>
        </a:p>
      </xdr:txBody>
    </xdr:sp>
    <xdr:clientData/>
  </xdr:twoCellAnchor>
  <xdr:twoCellAnchor>
    <xdr:from>
      <xdr:col>5</xdr:col>
      <xdr:colOff>44701</xdr:colOff>
      <xdr:row>12</xdr:row>
      <xdr:rowOff>161924</xdr:rowOff>
    </xdr:from>
    <xdr:to>
      <xdr:col>6</xdr:col>
      <xdr:colOff>400026</xdr:colOff>
      <xdr:row>14</xdr:row>
      <xdr:rowOff>19049</xdr:rowOff>
    </xdr:to>
    <xdr:sp macro="" textlink="">
      <xdr:nvSpPr>
        <xdr:cNvPr id="79" name="TextBox 78">
          <a:extLst>
            <a:ext uri="{FF2B5EF4-FFF2-40B4-BE49-F238E27FC236}">
              <a16:creationId xmlns:a16="http://schemas.microsoft.com/office/drawing/2014/main" id="{00000000-0008-0000-0200-00004F000000}"/>
            </a:ext>
          </a:extLst>
        </xdr:cNvPr>
        <xdr:cNvSpPr txBox="1"/>
      </xdr:nvSpPr>
      <xdr:spPr>
        <a:xfrm>
          <a:off x="3100639" y="2447924"/>
          <a:ext cx="96651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baseline="0">
              <a:solidFill>
                <a:schemeClr val="dk1"/>
              </a:solidFill>
              <a:latin typeface="Arial" panose="020B0604020202020204" pitchFamily="34" charset="0"/>
              <a:ea typeface="+mn-ea"/>
              <a:cs typeface="Arial" panose="020B0604020202020204" pitchFamily="34" charset="0"/>
            </a:rPr>
            <a:t>Revenue</a:t>
          </a:r>
          <a:endParaRPr lang="en-US" sz="13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400050</xdr:colOff>
          <xdr:row>12</xdr:row>
          <xdr:rowOff>165100</xdr:rowOff>
        </xdr:from>
        <xdr:to>
          <xdr:col>4</xdr:col>
          <xdr:colOff>603250</xdr:colOff>
          <xdr:row>14</xdr:row>
          <xdr:rowOff>38100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431800</xdr:colOff>
          <xdr:row>13</xdr:row>
          <xdr:rowOff>12700</xdr:rowOff>
        </xdr:from>
        <xdr:to>
          <xdr:col>3</xdr:col>
          <xdr:colOff>88900</xdr:colOff>
          <xdr:row>14</xdr:row>
          <xdr:rowOff>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284413</xdr:colOff>
      <xdr:row>12</xdr:row>
      <xdr:rowOff>152400</xdr:rowOff>
    </xdr:from>
    <xdr:to>
      <xdr:col>9</xdr:col>
      <xdr:colOff>325521</xdr:colOff>
      <xdr:row>14</xdr:row>
      <xdr:rowOff>0</xdr:rowOff>
    </xdr:to>
    <xdr:sp macro="" textlink="">
      <xdr:nvSpPr>
        <xdr:cNvPr id="67" name="TextBox 66">
          <a:extLst>
            <a:ext uri="{FF2B5EF4-FFF2-40B4-BE49-F238E27FC236}">
              <a16:creationId xmlns:a16="http://schemas.microsoft.com/office/drawing/2014/main" id="{00000000-0008-0000-0200-000043000000}"/>
            </a:ext>
          </a:extLst>
        </xdr:cNvPr>
        <xdr:cNvSpPr txBox="1"/>
      </xdr:nvSpPr>
      <xdr:spPr>
        <a:xfrm>
          <a:off x="4562726" y="2438400"/>
          <a:ext cx="126348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baseline="0">
              <a:latin typeface="Roboto" pitchFamily="2" charset="0"/>
              <a:ea typeface="Roboto" pitchFamily="2" charset="0"/>
              <a:cs typeface="Arial" panose="020B0604020202020204" pitchFamily="34" charset="0"/>
            </a:rPr>
            <a:t>Rank</a:t>
          </a:r>
          <a:endParaRPr lang="en-US" sz="1300" b="1">
            <a:latin typeface="Roboto" pitchFamily="2" charset="0"/>
            <a:ea typeface="Roboto" pitchFamily="2"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7</xdr:col>
          <xdr:colOff>69850</xdr:colOff>
          <xdr:row>12</xdr:row>
          <xdr:rowOff>152400</xdr:rowOff>
        </xdr:from>
        <xdr:to>
          <xdr:col>7</xdr:col>
          <xdr:colOff>266700</xdr:colOff>
          <xdr:row>14</xdr:row>
          <xdr:rowOff>31750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09E8E84-426E-40DD-AFC4-6F175D3DCCD1}">
                <a14:hiddenFill>
                  <a:solidFill>
                    <a:srgbClr val="7CD3DC"/>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304799</xdr:colOff>
      <xdr:row>9</xdr:row>
      <xdr:rowOff>19050</xdr:rowOff>
    </xdr:from>
    <xdr:to>
      <xdr:col>0</xdr:col>
      <xdr:colOff>304800</xdr:colOff>
      <xdr:row>10</xdr:row>
      <xdr:rowOff>147637</xdr:rowOff>
    </xdr:to>
    <xdr:cxnSp macro="">
      <xdr:nvCxnSpPr>
        <xdr:cNvPr id="71" name="Straight Connector 70">
          <a:extLst>
            <a:ext uri="{FF2B5EF4-FFF2-40B4-BE49-F238E27FC236}">
              <a16:creationId xmlns:a16="http://schemas.microsoft.com/office/drawing/2014/main" id="{00000000-0008-0000-0200-000047000000}"/>
            </a:ext>
          </a:extLst>
        </xdr:cNvPr>
        <xdr:cNvCxnSpPr/>
      </xdr:nvCxnSpPr>
      <xdr:spPr>
        <a:xfrm flipH="1">
          <a:off x="304799" y="1733550"/>
          <a:ext cx="1" cy="319087"/>
        </a:xfrm>
        <a:prstGeom prst="line">
          <a:avLst/>
        </a:prstGeom>
        <a:ln w="28575">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361949</xdr:colOff>
      <xdr:row>8</xdr:row>
      <xdr:rowOff>28574</xdr:rowOff>
    </xdr:from>
    <xdr:to>
      <xdr:col>7</xdr:col>
      <xdr:colOff>266700</xdr:colOff>
      <xdr:row>9</xdr:row>
      <xdr:rowOff>133349</xdr:rowOff>
    </xdr:to>
    <xdr:sp macro="" textlink="Anlysis!AU3">
      <xdr:nvSpPr>
        <xdr:cNvPr id="92" name="TextBox 91">
          <a:extLst>
            <a:ext uri="{FF2B5EF4-FFF2-40B4-BE49-F238E27FC236}">
              <a16:creationId xmlns:a16="http://schemas.microsoft.com/office/drawing/2014/main" id="{00000000-0008-0000-0200-00005C000000}"/>
            </a:ext>
          </a:extLst>
        </xdr:cNvPr>
        <xdr:cNvSpPr txBox="1"/>
      </xdr:nvSpPr>
      <xdr:spPr>
        <a:xfrm>
          <a:off x="2800349" y="1552574"/>
          <a:ext cx="173355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B354E3-5309-43D8-8988-F5723DCA34BD}" type="TxLink">
            <a:rPr lang="en-US" sz="12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t>Company Rank: </a:t>
          </a:fld>
          <a:endParaRPr lang="en-US" sz="12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4</xdr:col>
      <xdr:colOff>400049</xdr:colOff>
      <xdr:row>8</xdr:row>
      <xdr:rowOff>171450</xdr:rowOff>
    </xdr:from>
    <xdr:to>
      <xdr:col>4</xdr:col>
      <xdr:colOff>400050</xdr:colOff>
      <xdr:row>10</xdr:row>
      <xdr:rowOff>109537</xdr:rowOff>
    </xdr:to>
    <xdr:cxnSp macro="">
      <xdr:nvCxnSpPr>
        <xdr:cNvPr id="94" name="Straight Connector 93">
          <a:extLst>
            <a:ext uri="{FF2B5EF4-FFF2-40B4-BE49-F238E27FC236}">
              <a16:creationId xmlns:a16="http://schemas.microsoft.com/office/drawing/2014/main" id="{00000000-0008-0000-0200-00005E000000}"/>
            </a:ext>
          </a:extLst>
        </xdr:cNvPr>
        <xdr:cNvCxnSpPr/>
      </xdr:nvCxnSpPr>
      <xdr:spPr>
        <a:xfrm flipH="1">
          <a:off x="2838449" y="1695450"/>
          <a:ext cx="1" cy="319087"/>
        </a:xfrm>
        <a:prstGeom prst="line">
          <a:avLst/>
        </a:prstGeom>
        <a:ln w="28575">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76198</xdr:colOff>
      <xdr:row>8</xdr:row>
      <xdr:rowOff>66674</xdr:rowOff>
    </xdr:from>
    <xdr:to>
      <xdr:col>12</xdr:col>
      <xdr:colOff>19049</xdr:colOff>
      <xdr:row>9</xdr:row>
      <xdr:rowOff>171449</xdr:rowOff>
    </xdr:to>
    <xdr:sp macro="" textlink="Anlysis!AU3">
      <xdr:nvSpPr>
        <xdr:cNvPr id="95" name="TextBox 94">
          <a:extLst>
            <a:ext uri="{FF2B5EF4-FFF2-40B4-BE49-F238E27FC236}">
              <a16:creationId xmlns:a16="http://schemas.microsoft.com/office/drawing/2014/main" id="{00000000-0008-0000-0200-00005F000000}"/>
            </a:ext>
          </a:extLst>
        </xdr:cNvPr>
        <xdr:cNvSpPr txBox="1"/>
      </xdr:nvSpPr>
      <xdr:spPr>
        <a:xfrm>
          <a:off x="5562598" y="1590674"/>
          <a:ext cx="177165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B354E3-5309-43D8-8988-F5723DCA34BD}" type="TxLink">
            <a:rPr lang="en-US" sz="12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t>Company Rank: </a:t>
          </a:fld>
          <a:endParaRPr lang="en-US" sz="12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114299</xdr:colOff>
      <xdr:row>9</xdr:row>
      <xdr:rowOff>19050</xdr:rowOff>
    </xdr:from>
    <xdr:to>
      <xdr:col>9</xdr:col>
      <xdr:colOff>114300</xdr:colOff>
      <xdr:row>10</xdr:row>
      <xdr:rowOff>147637</xdr:rowOff>
    </xdr:to>
    <xdr:cxnSp macro="">
      <xdr:nvCxnSpPr>
        <xdr:cNvPr id="97" name="Straight Connector 96">
          <a:extLst>
            <a:ext uri="{FF2B5EF4-FFF2-40B4-BE49-F238E27FC236}">
              <a16:creationId xmlns:a16="http://schemas.microsoft.com/office/drawing/2014/main" id="{00000000-0008-0000-0200-000061000000}"/>
            </a:ext>
          </a:extLst>
        </xdr:cNvPr>
        <xdr:cNvCxnSpPr/>
      </xdr:nvCxnSpPr>
      <xdr:spPr>
        <a:xfrm flipH="1">
          <a:off x="5600699" y="1733550"/>
          <a:ext cx="1" cy="319087"/>
        </a:xfrm>
        <a:prstGeom prst="line">
          <a:avLst/>
        </a:prstGeom>
        <a:ln w="28575">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171449</xdr:colOff>
      <xdr:row>8</xdr:row>
      <xdr:rowOff>95249</xdr:rowOff>
    </xdr:from>
    <xdr:to>
      <xdr:col>16</xdr:col>
      <xdr:colOff>228600</xdr:colOff>
      <xdr:row>10</xdr:row>
      <xdr:rowOff>9524</xdr:rowOff>
    </xdr:to>
    <xdr:sp macro="" textlink="Anlysis!AU3">
      <xdr:nvSpPr>
        <xdr:cNvPr id="98" name="TextBox 97">
          <a:extLst>
            <a:ext uri="{FF2B5EF4-FFF2-40B4-BE49-F238E27FC236}">
              <a16:creationId xmlns:a16="http://schemas.microsoft.com/office/drawing/2014/main" id="{00000000-0008-0000-0200-000062000000}"/>
            </a:ext>
          </a:extLst>
        </xdr:cNvPr>
        <xdr:cNvSpPr txBox="1"/>
      </xdr:nvSpPr>
      <xdr:spPr>
        <a:xfrm>
          <a:off x="8096249" y="1619249"/>
          <a:ext cx="188595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E890E0E-45D6-4AF6-AC35-F32EDFDC3612}" type="TxLink">
            <a:rPr lang="en-US" sz="12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t>Company Rank: </a:t>
          </a:fld>
          <a:endParaRPr lang="en-US" sz="12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13</xdr:col>
      <xdr:colOff>171449</xdr:colOff>
      <xdr:row>9</xdr:row>
      <xdr:rowOff>0</xdr:rowOff>
    </xdr:from>
    <xdr:to>
      <xdr:col>13</xdr:col>
      <xdr:colOff>171450</xdr:colOff>
      <xdr:row>10</xdr:row>
      <xdr:rowOff>128587</xdr:rowOff>
    </xdr:to>
    <xdr:cxnSp macro="">
      <xdr:nvCxnSpPr>
        <xdr:cNvPr id="100" name="Straight Connector 99">
          <a:extLst>
            <a:ext uri="{FF2B5EF4-FFF2-40B4-BE49-F238E27FC236}">
              <a16:creationId xmlns:a16="http://schemas.microsoft.com/office/drawing/2014/main" id="{00000000-0008-0000-0200-000064000000}"/>
            </a:ext>
          </a:extLst>
        </xdr:cNvPr>
        <xdr:cNvCxnSpPr/>
      </xdr:nvCxnSpPr>
      <xdr:spPr>
        <a:xfrm flipH="1">
          <a:off x="8096249" y="1714500"/>
          <a:ext cx="1" cy="319087"/>
        </a:xfrm>
        <a:prstGeom prst="line">
          <a:avLst/>
        </a:prstGeom>
        <a:ln w="28575">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333373</xdr:colOff>
      <xdr:row>8</xdr:row>
      <xdr:rowOff>76199</xdr:rowOff>
    </xdr:from>
    <xdr:to>
      <xdr:col>20</xdr:col>
      <xdr:colOff>333374</xdr:colOff>
      <xdr:row>9</xdr:row>
      <xdr:rowOff>180974</xdr:rowOff>
    </xdr:to>
    <xdr:sp macro="" textlink="Anlysis!AU3">
      <xdr:nvSpPr>
        <xdr:cNvPr id="101" name="TextBox 100">
          <a:extLst>
            <a:ext uri="{FF2B5EF4-FFF2-40B4-BE49-F238E27FC236}">
              <a16:creationId xmlns:a16="http://schemas.microsoft.com/office/drawing/2014/main" id="{00000000-0008-0000-0200-000065000000}"/>
            </a:ext>
          </a:extLst>
        </xdr:cNvPr>
        <xdr:cNvSpPr txBox="1"/>
      </xdr:nvSpPr>
      <xdr:spPr>
        <a:xfrm>
          <a:off x="10696573" y="1600199"/>
          <a:ext cx="182880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1B354E3-5309-43D8-8988-F5723DCA34BD}" type="TxLink">
            <a:rPr lang="en-US" sz="1200" b="1" i="0" u="none" strike="noStrike">
              <a:solidFill>
                <a:schemeClr val="accent5">
                  <a:lumMod val="50000"/>
                </a:schemeClr>
              </a:solidFill>
              <a:latin typeface="Arial" panose="020B0604020202020204" pitchFamily="34" charset="0"/>
              <a:ea typeface="+mn-ea"/>
              <a:cs typeface="Arial" panose="020B0604020202020204" pitchFamily="34" charset="0"/>
            </a:rPr>
            <a:pPr marL="0" indent="0"/>
            <a:t>Company Rank: </a:t>
          </a:fld>
          <a:endParaRPr lang="en-US" sz="1200" b="1" i="0" u="none" strike="noStrike">
            <a:solidFill>
              <a:schemeClr val="accent5">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0</xdr:col>
      <xdr:colOff>304799</xdr:colOff>
      <xdr:row>9</xdr:row>
      <xdr:rowOff>138722</xdr:rowOff>
    </xdr:from>
    <xdr:to>
      <xdr:col>2</xdr:col>
      <xdr:colOff>209550</xdr:colOff>
      <xdr:row>12</xdr:row>
      <xdr:rowOff>104775</xdr:rowOff>
    </xdr:to>
    <xdr:sp macro="" textlink="Anlysis!AV14">
      <xdr:nvSpPr>
        <xdr:cNvPr id="47" name="TextBox 46">
          <a:extLst>
            <a:ext uri="{FF2B5EF4-FFF2-40B4-BE49-F238E27FC236}">
              <a16:creationId xmlns:a16="http://schemas.microsoft.com/office/drawing/2014/main" id="{00000000-0008-0000-0200-00002F000000}"/>
            </a:ext>
          </a:extLst>
        </xdr:cNvPr>
        <xdr:cNvSpPr txBox="1"/>
      </xdr:nvSpPr>
      <xdr:spPr>
        <a:xfrm>
          <a:off x="304799" y="1853222"/>
          <a:ext cx="1123951" cy="53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C12ABDB-594B-4499-8A46-2A3BCF8866DE}"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1</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xdr:from>
      <xdr:col>4</xdr:col>
      <xdr:colOff>400049</xdr:colOff>
      <xdr:row>9</xdr:row>
      <xdr:rowOff>114299</xdr:rowOff>
    </xdr:from>
    <xdr:to>
      <xdr:col>6</xdr:col>
      <xdr:colOff>304800</xdr:colOff>
      <xdr:row>12</xdr:row>
      <xdr:rowOff>80352</xdr:rowOff>
    </xdr:to>
    <xdr:sp macro="" textlink="Anlysis!AW14">
      <xdr:nvSpPr>
        <xdr:cNvPr id="93" name="TextBox 92">
          <a:extLst>
            <a:ext uri="{FF2B5EF4-FFF2-40B4-BE49-F238E27FC236}">
              <a16:creationId xmlns:a16="http://schemas.microsoft.com/office/drawing/2014/main" id="{00000000-0008-0000-0200-00005D000000}"/>
            </a:ext>
          </a:extLst>
        </xdr:cNvPr>
        <xdr:cNvSpPr txBox="1"/>
      </xdr:nvSpPr>
      <xdr:spPr>
        <a:xfrm>
          <a:off x="2838449" y="1828799"/>
          <a:ext cx="1123951" cy="53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C017EA4-9B0D-4558-A5E7-DDE445AF98BD}"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2</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xdr:from>
      <xdr:col>9</xdr:col>
      <xdr:colOff>114299</xdr:colOff>
      <xdr:row>9</xdr:row>
      <xdr:rowOff>147270</xdr:rowOff>
    </xdr:from>
    <xdr:to>
      <xdr:col>11</xdr:col>
      <xdr:colOff>19050</xdr:colOff>
      <xdr:row>12</xdr:row>
      <xdr:rowOff>113323</xdr:rowOff>
    </xdr:to>
    <xdr:sp macro="" textlink="Anlysis!AX14">
      <xdr:nvSpPr>
        <xdr:cNvPr id="96" name="TextBox 95">
          <a:extLst>
            <a:ext uri="{FF2B5EF4-FFF2-40B4-BE49-F238E27FC236}">
              <a16:creationId xmlns:a16="http://schemas.microsoft.com/office/drawing/2014/main" id="{00000000-0008-0000-0200-000060000000}"/>
            </a:ext>
          </a:extLst>
        </xdr:cNvPr>
        <xdr:cNvSpPr txBox="1"/>
      </xdr:nvSpPr>
      <xdr:spPr>
        <a:xfrm>
          <a:off x="5600699" y="1861770"/>
          <a:ext cx="1123951" cy="53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8BADEAB-1E57-4426-827A-38BC0EB0009E}"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3</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xdr:from>
      <xdr:col>13</xdr:col>
      <xdr:colOff>209549</xdr:colOff>
      <xdr:row>9</xdr:row>
      <xdr:rowOff>151666</xdr:rowOff>
    </xdr:from>
    <xdr:to>
      <xdr:col>15</xdr:col>
      <xdr:colOff>581025</xdr:colOff>
      <xdr:row>12</xdr:row>
      <xdr:rowOff>117719</xdr:rowOff>
    </xdr:to>
    <xdr:sp macro="" textlink="Anlysis!AY14">
      <xdr:nvSpPr>
        <xdr:cNvPr id="99" name="TextBox 98">
          <a:extLst>
            <a:ext uri="{FF2B5EF4-FFF2-40B4-BE49-F238E27FC236}">
              <a16:creationId xmlns:a16="http://schemas.microsoft.com/office/drawing/2014/main" id="{00000000-0008-0000-0200-000063000000}"/>
            </a:ext>
          </a:extLst>
        </xdr:cNvPr>
        <xdr:cNvSpPr txBox="1"/>
      </xdr:nvSpPr>
      <xdr:spPr>
        <a:xfrm>
          <a:off x="8134349" y="1866166"/>
          <a:ext cx="1590676" cy="53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D8A763C-70BB-4672-AAC3-0D8934ABF41B}"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4</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xdr:from>
      <xdr:col>17</xdr:col>
      <xdr:colOff>342899</xdr:colOff>
      <xdr:row>9</xdr:row>
      <xdr:rowOff>161191</xdr:rowOff>
    </xdr:from>
    <xdr:to>
      <xdr:col>19</xdr:col>
      <xdr:colOff>514350</xdr:colOff>
      <xdr:row>12</xdr:row>
      <xdr:rowOff>127244</xdr:rowOff>
    </xdr:to>
    <xdr:sp macro="" textlink="Anlysis!AZ14">
      <xdr:nvSpPr>
        <xdr:cNvPr id="102" name="TextBox 101">
          <a:extLst>
            <a:ext uri="{FF2B5EF4-FFF2-40B4-BE49-F238E27FC236}">
              <a16:creationId xmlns:a16="http://schemas.microsoft.com/office/drawing/2014/main" id="{00000000-0008-0000-0200-000066000000}"/>
            </a:ext>
          </a:extLst>
        </xdr:cNvPr>
        <xdr:cNvSpPr txBox="1"/>
      </xdr:nvSpPr>
      <xdr:spPr>
        <a:xfrm>
          <a:off x="10706099" y="1875691"/>
          <a:ext cx="1390651" cy="53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AB28526-9393-420E-9E4B-DA8088547254}"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5</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xdr:from>
      <xdr:col>17</xdr:col>
      <xdr:colOff>342899</xdr:colOff>
      <xdr:row>8</xdr:row>
      <xdr:rowOff>171450</xdr:rowOff>
    </xdr:from>
    <xdr:to>
      <xdr:col>17</xdr:col>
      <xdr:colOff>342900</xdr:colOff>
      <xdr:row>10</xdr:row>
      <xdr:rowOff>109537</xdr:rowOff>
    </xdr:to>
    <xdr:cxnSp macro="">
      <xdr:nvCxnSpPr>
        <xdr:cNvPr id="103" name="Straight Connector 102">
          <a:extLst>
            <a:ext uri="{FF2B5EF4-FFF2-40B4-BE49-F238E27FC236}">
              <a16:creationId xmlns:a16="http://schemas.microsoft.com/office/drawing/2014/main" id="{00000000-0008-0000-0200-000067000000}"/>
            </a:ext>
          </a:extLst>
        </xdr:cNvPr>
        <xdr:cNvCxnSpPr/>
      </xdr:nvCxnSpPr>
      <xdr:spPr>
        <a:xfrm flipH="1">
          <a:off x="10706099" y="1695450"/>
          <a:ext cx="1" cy="319087"/>
        </a:xfrm>
        <a:prstGeom prst="line">
          <a:avLst/>
        </a:prstGeom>
        <a:ln w="28575">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47626</xdr:colOff>
      <xdr:row>31</xdr:row>
      <xdr:rowOff>104776</xdr:rowOff>
    </xdr:from>
    <xdr:to>
      <xdr:col>7</xdr:col>
      <xdr:colOff>447676</xdr:colOff>
      <xdr:row>42</xdr:row>
      <xdr:rowOff>56445</xdr:rowOff>
    </xdr:to>
    <xdr:graphicFrame macro="">
      <xdr:nvGraphicFramePr>
        <xdr:cNvPr id="109" name="Chart 108">
          <a:extLst>
            <a:ext uri="{FF2B5EF4-FFF2-40B4-BE49-F238E27FC236}">
              <a16:creationId xmlns:a16="http://schemas.microsoft.com/office/drawing/2014/main" id="{00000000-0008-0000-0200-00006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109127</xdr:colOff>
      <xdr:row>12</xdr:row>
      <xdr:rowOff>114300</xdr:rowOff>
    </xdr:from>
    <xdr:to>
      <xdr:col>13</xdr:col>
      <xdr:colOff>181626</xdr:colOff>
      <xdr:row>14</xdr:row>
      <xdr:rowOff>76200</xdr:rowOff>
    </xdr:to>
    <xdr:sp macro="[0]!Macro1" textlink="">
      <xdr:nvSpPr>
        <xdr:cNvPr id="60" name="TextBox 59">
          <a:extLst>
            <a:ext uri="{FF2B5EF4-FFF2-40B4-BE49-F238E27FC236}">
              <a16:creationId xmlns:a16="http://schemas.microsoft.com/office/drawing/2014/main" id="{00000000-0008-0000-0200-00003C000000}"/>
            </a:ext>
          </a:extLst>
        </xdr:cNvPr>
        <xdr:cNvSpPr txBox="1"/>
      </xdr:nvSpPr>
      <xdr:spPr>
        <a:xfrm>
          <a:off x="6832190" y="2400300"/>
          <a:ext cx="1294874" cy="342900"/>
        </a:xfrm>
        <a:prstGeom prst="roundRect">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vert="horz" rtlCol="0" anchor="t"/>
        <a:lstStyle/>
        <a:p>
          <a:pPr indent="0"/>
          <a:r>
            <a:rPr lang="en-US" sz="1300" b="1">
              <a:solidFill>
                <a:schemeClr val="bg1"/>
              </a:solidFill>
              <a:latin typeface="Roboto" pitchFamily="2" charset="0"/>
              <a:ea typeface="Roboto" pitchFamily="2" charset="0"/>
              <a:cs typeface="Arial" panose="020B0604020202020204" pitchFamily="34" charset="0"/>
            </a:rPr>
            <a:t>Clear Slicer</a:t>
          </a:r>
        </a:p>
      </xdr:txBody>
    </xdr:sp>
    <xdr:clientData/>
  </xdr:twoCellAnchor>
  <xdr:twoCellAnchor>
    <xdr:from>
      <xdr:col>12</xdr:col>
      <xdr:colOff>484188</xdr:colOff>
      <xdr:row>12</xdr:row>
      <xdr:rowOff>166943</xdr:rowOff>
    </xdr:from>
    <xdr:to>
      <xdr:col>13</xdr:col>
      <xdr:colOff>139146</xdr:colOff>
      <xdr:row>14</xdr:row>
      <xdr:rowOff>35791</xdr:rowOff>
    </xdr:to>
    <xdr:pic>
      <xdr:nvPicPr>
        <xdr:cNvPr id="64" name="Picture 63">
          <a:extLst>
            <a:ext uri="{FF2B5EF4-FFF2-40B4-BE49-F238E27FC236}">
              <a16:creationId xmlns:a16="http://schemas.microsoft.com/office/drawing/2014/main" id="{00000000-0008-0000-0200-00004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18438" y="2452943"/>
          <a:ext cx="266146" cy="249848"/>
        </a:xfrm>
        <a:prstGeom prst="rect">
          <a:avLst/>
        </a:prstGeom>
      </xdr:spPr>
    </xdr:pic>
    <xdr:clientData/>
  </xdr:twoCellAnchor>
  <xdr:twoCellAnchor>
    <xdr:from>
      <xdr:col>13</xdr:col>
      <xdr:colOff>228600</xdr:colOff>
      <xdr:row>12</xdr:row>
      <xdr:rowOff>112305</xdr:rowOff>
    </xdr:from>
    <xdr:to>
      <xdr:col>15</xdr:col>
      <xdr:colOff>247650</xdr:colOff>
      <xdr:row>14</xdr:row>
      <xdr:rowOff>76201</xdr:rowOff>
    </xdr:to>
    <xdr:sp macro="[0]!Macro2" textlink="">
      <xdr:nvSpPr>
        <xdr:cNvPr id="114" name="TextBox 113">
          <a:extLst>
            <a:ext uri="{FF2B5EF4-FFF2-40B4-BE49-F238E27FC236}">
              <a16:creationId xmlns:a16="http://schemas.microsoft.com/office/drawing/2014/main" id="{00000000-0008-0000-0200-000072000000}"/>
            </a:ext>
          </a:extLst>
        </xdr:cNvPr>
        <xdr:cNvSpPr txBox="1"/>
      </xdr:nvSpPr>
      <xdr:spPr>
        <a:xfrm>
          <a:off x="8174038" y="2398305"/>
          <a:ext cx="1241425" cy="344896"/>
        </a:xfrm>
        <a:prstGeom prst="roundRect">
          <a:avLst/>
        </a:prstGeom>
        <a:gradFill flip="none" rotWithShape="1">
          <a:gsLst>
            <a:gs pos="0">
              <a:schemeClr val="accent5">
                <a:lumMod val="89000"/>
              </a:schemeClr>
            </a:gs>
            <a:gs pos="23000">
              <a:schemeClr val="accent5">
                <a:lumMod val="89000"/>
              </a:schemeClr>
            </a:gs>
            <a:gs pos="69000">
              <a:schemeClr val="accent5">
                <a:lumMod val="75000"/>
              </a:schemeClr>
            </a:gs>
            <a:gs pos="97000">
              <a:schemeClr val="accent5">
                <a:lumMod val="70000"/>
              </a:schemeClr>
            </a:gs>
          </a:gsLst>
          <a:path path="circle">
            <a:fillToRect l="50000" t="50000" r="50000" b="50000"/>
          </a:path>
          <a:tileRect/>
        </a:grad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vert="horz" rtlCol="0" anchor="t"/>
        <a:lstStyle/>
        <a:p>
          <a:pPr indent="0"/>
          <a:r>
            <a:rPr lang="en-US" sz="1300" b="1">
              <a:solidFill>
                <a:schemeClr val="bg1"/>
              </a:solidFill>
              <a:latin typeface="Roboto" pitchFamily="2" charset="0"/>
              <a:ea typeface="Roboto" pitchFamily="2" charset="0"/>
              <a:cs typeface="Arial" panose="020B0604020202020204" pitchFamily="34" charset="0"/>
            </a:rPr>
            <a:t> Clear Filter</a:t>
          </a:r>
        </a:p>
      </xdr:txBody>
    </xdr:sp>
    <xdr:clientData/>
  </xdr:twoCellAnchor>
  <xdr:twoCellAnchor>
    <xdr:from>
      <xdr:col>14</xdr:col>
      <xdr:colOff>585569</xdr:colOff>
      <xdr:row>13</xdr:row>
      <xdr:rowOff>7519</xdr:rowOff>
    </xdr:from>
    <xdr:to>
      <xdr:col>15</xdr:col>
      <xdr:colOff>208405</xdr:colOff>
      <xdr:row>14</xdr:row>
      <xdr:rowOff>0</xdr:rowOff>
    </xdr:to>
    <xdr:pic>
      <xdr:nvPicPr>
        <xdr:cNvPr id="119" name="Picture 118">
          <a:extLst>
            <a:ext uri="{FF2B5EF4-FFF2-40B4-BE49-F238E27FC236}">
              <a16:creationId xmlns:a16="http://schemas.microsoft.com/office/drawing/2014/main" id="{00000000-0008-0000-0200-00007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142194" y="2484019"/>
          <a:ext cx="234024" cy="182981"/>
        </a:xfrm>
        <a:prstGeom prst="rect">
          <a:avLst/>
        </a:prstGeom>
      </xdr:spPr>
    </xdr:pic>
    <xdr:clientData/>
  </xdr:twoCellAnchor>
  <xdr:twoCellAnchor>
    <xdr:from>
      <xdr:col>17</xdr:col>
      <xdr:colOff>114299</xdr:colOff>
      <xdr:row>15</xdr:row>
      <xdr:rowOff>77465</xdr:rowOff>
    </xdr:from>
    <xdr:to>
      <xdr:col>18</xdr:col>
      <xdr:colOff>342899</xdr:colOff>
      <xdr:row>16</xdr:row>
      <xdr:rowOff>86990</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0477499" y="2934965"/>
          <a:ext cx="8382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8</xdr:col>
      <xdr:colOff>409575</xdr:colOff>
      <xdr:row>22</xdr:row>
      <xdr:rowOff>18049</xdr:rowOff>
    </xdr:from>
    <xdr:to>
      <xdr:col>10</xdr:col>
      <xdr:colOff>85726</xdr:colOff>
      <xdr:row>26</xdr:row>
      <xdr:rowOff>60400</xdr:rowOff>
    </xdr:to>
    <xdr:sp macro="" textlink="">
      <xdr:nvSpPr>
        <xdr:cNvPr id="54" name="Oval 53">
          <a:extLst>
            <a:ext uri="{FF2B5EF4-FFF2-40B4-BE49-F238E27FC236}">
              <a16:creationId xmlns:a16="http://schemas.microsoft.com/office/drawing/2014/main" id="{00000000-0008-0000-0200-000036000000}"/>
            </a:ext>
          </a:extLst>
        </xdr:cNvPr>
        <xdr:cNvSpPr/>
      </xdr:nvSpPr>
      <xdr:spPr>
        <a:xfrm>
          <a:off x="5562146" y="4009478"/>
          <a:ext cx="964294" cy="768065"/>
        </a:xfrm>
        <a:prstGeom prst="ellipse">
          <a:avLst/>
        </a:prstGeom>
        <a:solidFill>
          <a:srgbClr val="9EC3C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276224</xdr:colOff>
      <xdr:row>21</xdr:row>
      <xdr:rowOff>8523</xdr:rowOff>
    </xdr:from>
    <xdr:to>
      <xdr:col>14</xdr:col>
      <xdr:colOff>266699</xdr:colOff>
      <xdr:row>26</xdr:row>
      <xdr:rowOff>149239</xdr:rowOff>
    </xdr:to>
    <xdr:sp macro="" textlink="">
      <xdr:nvSpPr>
        <xdr:cNvPr id="55" name="Oval 54">
          <a:extLst>
            <a:ext uri="{FF2B5EF4-FFF2-40B4-BE49-F238E27FC236}">
              <a16:creationId xmlns:a16="http://schemas.microsoft.com/office/drawing/2014/main" id="{00000000-0008-0000-0200-000037000000}"/>
            </a:ext>
          </a:extLst>
        </xdr:cNvPr>
        <xdr:cNvSpPr/>
      </xdr:nvSpPr>
      <xdr:spPr>
        <a:xfrm>
          <a:off x="8005081" y="3818523"/>
          <a:ext cx="1278618" cy="1047859"/>
        </a:xfrm>
        <a:prstGeom prst="ellipse">
          <a:avLst/>
        </a:prstGeom>
        <a:solidFill>
          <a:srgbClr val="7CD3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66676</xdr:colOff>
      <xdr:row>20</xdr:row>
      <xdr:rowOff>66128</xdr:rowOff>
    </xdr:from>
    <xdr:to>
      <xdr:col>12</xdr:col>
      <xdr:colOff>285750</xdr:colOff>
      <xdr:row>27</xdr:row>
      <xdr:rowOff>72573</xdr:rowOff>
    </xdr:to>
    <xdr:sp macro="" textlink="">
      <xdr:nvSpPr>
        <xdr:cNvPr id="57" name="Oval 56">
          <a:extLst>
            <a:ext uri="{FF2B5EF4-FFF2-40B4-BE49-F238E27FC236}">
              <a16:creationId xmlns:a16="http://schemas.microsoft.com/office/drawing/2014/main" id="{00000000-0008-0000-0200-000039000000}"/>
            </a:ext>
          </a:extLst>
        </xdr:cNvPr>
        <xdr:cNvSpPr/>
      </xdr:nvSpPr>
      <xdr:spPr>
        <a:xfrm>
          <a:off x="6507390" y="3694699"/>
          <a:ext cx="1507217" cy="1276445"/>
        </a:xfrm>
        <a:prstGeom prst="ellipse">
          <a:avLst/>
        </a:prstGeom>
        <a:solidFill>
          <a:srgbClr val="33A7B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95249</xdr:colOff>
      <xdr:row>17</xdr:row>
      <xdr:rowOff>163190</xdr:rowOff>
    </xdr:from>
    <xdr:to>
      <xdr:col>8</xdr:col>
      <xdr:colOff>255909</xdr:colOff>
      <xdr:row>18</xdr:row>
      <xdr:rowOff>133350</xdr:rowOff>
    </xdr:to>
    <xdr:sp macro="" textlink="">
      <xdr:nvSpPr>
        <xdr:cNvPr id="65" name="Rectangle: Rounded Corners 64">
          <a:extLst>
            <a:ext uri="{FF2B5EF4-FFF2-40B4-BE49-F238E27FC236}">
              <a16:creationId xmlns:a16="http://schemas.microsoft.com/office/drawing/2014/main" id="{00000000-0008-0000-0200-000041000000}"/>
            </a:ext>
          </a:extLst>
        </xdr:cNvPr>
        <xdr:cNvSpPr/>
      </xdr:nvSpPr>
      <xdr:spPr>
        <a:xfrm>
          <a:off x="4972049" y="3401690"/>
          <a:ext cx="160660" cy="160660"/>
        </a:xfrm>
        <a:prstGeom prst="roundRect">
          <a:avLst/>
        </a:prstGeom>
        <a:solidFill>
          <a:srgbClr val="9EC3C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219074</xdr:colOff>
      <xdr:row>17</xdr:row>
      <xdr:rowOff>115565</xdr:rowOff>
    </xdr:from>
    <xdr:to>
      <xdr:col>10</xdr:col>
      <xdr:colOff>485775</xdr:colOff>
      <xdr:row>18</xdr:row>
      <xdr:rowOff>171450</xdr:rowOff>
    </xdr:to>
    <xdr:sp macro="" textlink="Anlysis!BI7">
      <xdr:nvSpPr>
        <xdr:cNvPr id="66" name="TextBox 65">
          <a:extLst>
            <a:ext uri="{FF2B5EF4-FFF2-40B4-BE49-F238E27FC236}">
              <a16:creationId xmlns:a16="http://schemas.microsoft.com/office/drawing/2014/main" id="{00000000-0008-0000-0200-000042000000}"/>
            </a:ext>
          </a:extLst>
        </xdr:cNvPr>
        <xdr:cNvSpPr txBox="1"/>
      </xdr:nvSpPr>
      <xdr:spPr>
        <a:xfrm>
          <a:off x="5095874" y="3354065"/>
          <a:ext cx="1485901" cy="24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A1E6827-B7D7-4CA1-9135-C92863648ED3}" type="TxLink">
            <a:rPr lang="en-US" sz="1100" b="1" i="0" u="none" strike="noStrike">
              <a:solidFill>
                <a:schemeClr val="accent1">
                  <a:lumMod val="75000"/>
                </a:schemeClr>
              </a:solidFill>
              <a:latin typeface="Arial" panose="020B0604020202020204" pitchFamily="34" charset="0"/>
              <a:ea typeface="+mn-ea"/>
              <a:cs typeface="Arial" panose="020B0604020202020204" pitchFamily="34" charset="0"/>
            </a:rPr>
            <a:pPr marL="0" indent="0"/>
            <a:t>Elizabeth Guerrero</a:t>
          </a:fld>
          <a:endParaRPr lang="en-US" sz="1100" b="1" i="0" u="none" strike="noStrike">
            <a:solidFill>
              <a:schemeClr val="accent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16</xdr:col>
      <xdr:colOff>447674</xdr:colOff>
      <xdr:row>19</xdr:row>
      <xdr:rowOff>106040</xdr:rowOff>
    </xdr:from>
    <xdr:to>
      <xdr:col>18</xdr:col>
      <xdr:colOff>66674</xdr:colOff>
      <xdr:row>20</xdr:row>
      <xdr:rowOff>115565</xdr:rowOff>
    </xdr:to>
    <xdr:sp macro="" textlink="">
      <xdr:nvSpPr>
        <xdr:cNvPr id="73" name="TextBox 72">
          <a:extLst>
            <a:ext uri="{FF2B5EF4-FFF2-40B4-BE49-F238E27FC236}">
              <a16:creationId xmlns:a16="http://schemas.microsoft.com/office/drawing/2014/main" id="{00000000-0008-0000-0200-000049000000}"/>
            </a:ext>
          </a:extLst>
        </xdr:cNvPr>
        <xdr:cNvSpPr txBox="1"/>
      </xdr:nvSpPr>
      <xdr:spPr>
        <a:xfrm>
          <a:off x="10201274" y="3725540"/>
          <a:ext cx="8382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10</xdr:col>
      <xdr:colOff>428624</xdr:colOff>
      <xdr:row>17</xdr:row>
      <xdr:rowOff>182240</xdr:rowOff>
    </xdr:from>
    <xdr:to>
      <xdr:col>10</xdr:col>
      <xdr:colOff>589284</xdr:colOff>
      <xdr:row>18</xdr:row>
      <xdr:rowOff>152400</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6524624" y="3420740"/>
          <a:ext cx="160660" cy="160660"/>
        </a:xfrm>
        <a:prstGeom prst="roundRect">
          <a:avLst/>
        </a:prstGeom>
        <a:solidFill>
          <a:srgbClr val="33A7B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542924</xdr:colOff>
      <xdr:row>17</xdr:row>
      <xdr:rowOff>125090</xdr:rowOff>
    </xdr:from>
    <xdr:to>
      <xdr:col>12</xdr:col>
      <xdr:colOff>552450</xdr:colOff>
      <xdr:row>18</xdr:row>
      <xdr:rowOff>180975</xdr:rowOff>
    </xdr:to>
    <xdr:sp macro="" textlink="Anlysis!BI5">
      <xdr:nvSpPr>
        <xdr:cNvPr id="82" name="TextBox 81">
          <a:extLst>
            <a:ext uri="{FF2B5EF4-FFF2-40B4-BE49-F238E27FC236}">
              <a16:creationId xmlns:a16="http://schemas.microsoft.com/office/drawing/2014/main" id="{00000000-0008-0000-0200-000052000000}"/>
            </a:ext>
          </a:extLst>
        </xdr:cNvPr>
        <xdr:cNvSpPr txBox="1"/>
      </xdr:nvSpPr>
      <xdr:spPr>
        <a:xfrm>
          <a:off x="6638924" y="3363590"/>
          <a:ext cx="1228726" cy="24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5155C69-839C-4256-9929-5F5A1792DE29}" type="TxLink">
            <a:rPr lang="en-US" sz="1100" b="1" i="0" u="none" strike="noStrike">
              <a:solidFill>
                <a:schemeClr val="accent1">
                  <a:lumMod val="75000"/>
                </a:schemeClr>
              </a:solidFill>
              <a:latin typeface="Arial" panose="020B0604020202020204" pitchFamily="34" charset="0"/>
              <a:ea typeface="+mn-ea"/>
              <a:cs typeface="Arial" panose="020B0604020202020204" pitchFamily="34" charset="0"/>
            </a:rPr>
            <a:pPr marL="0" indent="0"/>
            <a:t>Katie Stanton</a:t>
          </a:fld>
          <a:endParaRPr lang="en-US" sz="1100" b="1" i="0" u="none" strike="noStrike">
            <a:solidFill>
              <a:schemeClr val="accent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12</xdr:col>
      <xdr:colOff>447674</xdr:colOff>
      <xdr:row>17</xdr:row>
      <xdr:rowOff>172715</xdr:rowOff>
    </xdr:from>
    <xdr:to>
      <xdr:col>12</xdr:col>
      <xdr:colOff>608334</xdr:colOff>
      <xdr:row>18</xdr:row>
      <xdr:rowOff>142875</xdr:rowOff>
    </xdr:to>
    <xdr:sp macro="" textlink="">
      <xdr:nvSpPr>
        <xdr:cNvPr id="84" name="Rectangle: Rounded Corners 83">
          <a:extLst>
            <a:ext uri="{FF2B5EF4-FFF2-40B4-BE49-F238E27FC236}">
              <a16:creationId xmlns:a16="http://schemas.microsoft.com/office/drawing/2014/main" id="{00000000-0008-0000-0200-000054000000}"/>
            </a:ext>
          </a:extLst>
        </xdr:cNvPr>
        <xdr:cNvSpPr/>
      </xdr:nvSpPr>
      <xdr:spPr>
        <a:xfrm>
          <a:off x="7762874" y="3411215"/>
          <a:ext cx="160660" cy="160660"/>
        </a:xfrm>
        <a:prstGeom prst="roundRect">
          <a:avLst/>
        </a:prstGeom>
        <a:solidFill>
          <a:srgbClr val="7CD3D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581024</xdr:colOff>
      <xdr:row>17</xdr:row>
      <xdr:rowOff>125090</xdr:rowOff>
    </xdr:from>
    <xdr:to>
      <xdr:col>14</xdr:col>
      <xdr:colOff>590550</xdr:colOff>
      <xdr:row>18</xdr:row>
      <xdr:rowOff>180975</xdr:rowOff>
    </xdr:to>
    <xdr:sp macro="" textlink="Anlysis!BI6">
      <xdr:nvSpPr>
        <xdr:cNvPr id="85" name="TextBox 84">
          <a:extLst>
            <a:ext uri="{FF2B5EF4-FFF2-40B4-BE49-F238E27FC236}">
              <a16:creationId xmlns:a16="http://schemas.microsoft.com/office/drawing/2014/main" id="{00000000-0008-0000-0200-000055000000}"/>
            </a:ext>
          </a:extLst>
        </xdr:cNvPr>
        <xdr:cNvSpPr txBox="1"/>
      </xdr:nvSpPr>
      <xdr:spPr>
        <a:xfrm>
          <a:off x="7896224" y="3363590"/>
          <a:ext cx="1228726" cy="24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576292D-95E8-49B0-AC56-848187AF82A9}" type="TxLink">
            <a:rPr lang="en-US" sz="1100" b="1" i="0" u="none" strike="noStrike">
              <a:solidFill>
                <a:schemeClr val="accent1">
                  <a:lumMod val="75000"/>
                </a:schemeClr>
              </a:solidFill>
              <a:latin typeface="Arial" panose="020B0604020202020204" pitchFamily="34" charset="0"/>
              <a:ea typeface="+mn-ea"/>
              <a:cs typeface="Arial" panose="020B0604020202020204" pitchFamily="34" charset="0"/>
            </a:rPr>
            <a:pPr marL="0" indent="0"/>
            <a:t>Tracy Lee</a:t>
          </a:fld>
          <a:endParaRPr lang="en-US" sz="1100" b="1" i="0" u="none" strike="noStrike">
            <a:solidFill>
              <a:schemeClr val="accent1">
                <a:lumMod val="7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171450</xdr:colOff>
      <xdr:row>18</xdr:row>
      <xdr:rowOff>142876</xdr:rowOff>
    </xdr:from>
    <xdr:to>
      <xdr:col>10</xdr:col>
      <xdr:colOff>95249</xdr:colOff>
      <xdr:row>20</xdr:row>
      <xdr:rowOff>104776</xdr:rowOff>
    </xdr:to>
    <xdr:sp macro="" textlink="Anlysis!AM6">
      <xdr:nvSpPr>
        <xdr:cNvPr id="86" name="TextBox 85">
          <a:extLst>
            <a:ext uri="{FF2B5EF4-FFF2-40B4-BE49-F238E27FC236}">
              <a16:creationId xmlns:a16="http://schemas.microsoft.com/office/drawing/2014/main" id="{00000000-0008-0000-0200-000056000000}"/>
            </a:ext>
          </a:extLst>
        </xdr:cNvPr>
        <xdr:cNvSpPr txBox="1"/>
      </xdr:nvSpPr>
      <xdr:spPr>
        <a:xfrm>
          <a:off x="5048250" y="3571876"/>
          <a:ext cx="1142999"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F913CFF-F062-4047-9614-78958D33AC76}"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 </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xdr:from>
      <xdr:col>10</xdr:col>
      <xdr:colOff>552450</xdr:colOff>
      <xdr:row>18</xdr:row>
      <xdr:rowOff>180976</xdr:rowOff>
    </xdr:from>
    <xdr:to>
      <xdr:col>12</xdr:col>
      <xdr:colOff>561975</xdr:colOff>
      <xdr:row>20</xdr:row>
      <xdr:rowOff>142876</xdr:rowOff>
    </xdr:to>
    <xdr:sp macro="" textlink="Anlysis!AM4">
      <xdr:nvSpPr>
        <xdr:cNvPr id="87" name="TextBox 86">
          <a:extLst>
            <a:ext uri="{FF2B5EF4-FFF2-40B4-BE49-F238E27FC236}">
              <a16:creationId xmlns:a16="http://schemas.microsoft.com/office/drawing/2014/main" id="{00000000-0008-0000-0200-000057000000}"/>
            </a:ext>
          </a:extLst>
        </xdr:cNvPr>
        <xdr:cNvSpPr txBox="1"/>
      </xdr:nvSpPr>
      <xdr:spPr>
        <a:xfrm>
          <a:off x="6648450" y="3609976"/>
          <a:ext cx="12287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0B825E9-2346-4C53-8279-E50D9CFF8117}"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 </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xdr:from>
      <xdr:col>12</xdr:col>
      <xdr:colOff>552450</xdr:colOff>
      <xdr:row>19</xdr:row>
      <xdr:rowOff>19051</xdr:rowOff>
    </xdr:from>
    <xdr:to>
      <xdr:col>14</xdr:col>
      <xdr:colOff>285749</xdr:colOff>
      <xdr:row>20</xdr:row>
      <xdr:rowOff>171451</xdr:rowOff>
    </xdr:to>
    <xdr:sp macro="" textlink="Anlysis!AM5">
      <xdr:nvSpPr>
        <xdr:cNvPr id="88" name="TextBox 87">
          <a:extLst>
            <a:ext uri="{FF2B5EF4-FFF2-40B4-BE49-F238E27FC236}">
              <a16:creationId xmlns:a16="http://schemas.microsoft.com/office/drawing/2014/main" id="{00000000-0008-0000-0200-000058000000}"/>
            </a:ext>
          </a:extLst>
        </xdr:cNvPr>
        <xdr:cNvSpPr txBox="1"/>
      </xdr:nvSpPr>
      <xdr:spPr>
        <a:xfrm>
          <a:off x="7867650" y="3638551"/>
          <a:ext cx="952499"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44FECC9-5E83-473F-B796-625B8F676ED3}" type="TxLink">
            <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rPr>
            <a:pPr marL="0" indent="0"/>
            <a:t> </a:t>
          </a:fld>
          <a:endParaRPr lang="en-US" sz="1550" b="1" i="0" u="none" strike="noStrike">
            <a:solidFill>
              <a:schemeClr val="accent2">
                <a:lumMod val="75000"/>
              </a:schemeClr>
            </a:solidFill>
            <a:latin typeface="Arial" panose="020B0604020202020204" pitchFamily="34" charset="0"/>
            <a:ea typeface="Roboto" pitchFamily="2" charset="0"/>
            <a:cs typeface="Arial" panose="020B0604020202020204" pitchFamily="34" charset="0"/>
          </a:endParaRPr>
        </a:p>
      </xdr:txBody>
    </xdr:sp>
    <xdr:clientData/>
  </xdr:twoCellAnchor>
  <xdr:twoCellAnchor editAs="oneCell">
    <xdr:from>
      <xdr:col>14</xdr:col>
      <xdr:colOff>515482</xdr:colOff>
      <xdr:row>36</xdr:row>
      <xdr:rowOff>10205</xdr:rowOff>
    </xdr:from>
    <xdr:to>
      <xdr:col>21</xdr:col>
      <xdr:colOff>0</xdr:colOff>
      <xdr:row>41</xdr:row>
      <xdr:rowOff>148772</xdr:rowOff>
    </xdr:to>
    <mc:AlternateContent xmlns:mc="http://schemas.openxmlformats.org/markup-compatibility/2006">
      <mc:Choice xmlns:a14="http://schemas.microsoft.com/office/drawing/2010/main" Requires="a14">
        <xdr:graphicFrame macro="">
          <xdr:nvGraphicFramePr>
            <xdr:cNvPr id="91" name="Sales Representitive">
              <a:extLst>
                <a:ext uri="{FF2B5EF4-FFF2-40B4-BE49-F238E27FC236}">
                  <a16:creationId xmlns:a16="http://schemas.microsoft.com/office/drawing/2014/main" id="{00000000-0008-0000-0200-00005B000000}"/>
                </a:ext>
              </a:extLst>
            </xdr:cNvPr>
            <xdr:cNvGraphicFramePr/>
          </xdr:nvGraphicFramePr>
          <xdr:xfrm>
            <a:off x="0" y="0"/>
            <a:ext cx="0" cy="0"/>
          </xdr:xfrm>
          <a:graphic>
            <a:graphicData uri="http://schemas.microsoft.com/office/drawing/2010/slicer">
              <sle:slicer xmlns:sle="http://schemas.microsoft.com/office/drawing/2010/slicer" name="Sales Representitive"/>
            </a:graphicData>
          </a:graphic>
        </xdr:graphicFrame>
      </mc:Choice>
      <mc:Fallback>
        <xdr:sp macro="" textlink="">
          <xdr:nvSpPr>
            <xdr:cNvPr id="0" name=""/>
            <xdr:cNvSpPr>
              <a:spLocks noTextEdit="1"/>
            </xdr:cNvSpPr>
          </xdr:nvSpPr>
          <xdr:spPr>
            <a:xfrm>
              <a:off x="9504260" y="6614205"/>
              <a:ext cx="3978907" cy="1055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266701</xdr:colOff>
      <xdr:row>13</xdr:row>
      <xdr:rowOff>180976</xdr:rowOff>
    </xdr:from>
    <xdr:to>
      <xdr:col>20</xdr:col>
      <xdr:colOff>590550</xdr:colOff>
      <xdr:row>27</xdr:row>
      <xdr:rowOff>27216</xdr:rowOff>
    </xdr:to>
    <xdr:graphicFrame macro="">
      <xdr:nvGraphicFramePr>
        <xdr:cNvPr id="104" name="Chart 103">
          <a:extLst>
            <a:ext uri="{FF2B5EF4-FFF2-40B4-BE49-F238E27FC236}">
              <a16:creationId xmlns:a16="http://schemas.microsoft.com/office/drawing/2014/main" id="{00000000-0008-0000-02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30</xdr:row>
      <xdr:rowOff>51152</xdr:rowOff>
    </xdr:from>
    <xdr:to>
      <xdr:col>8</xdr:col>
      <xdr:colOff>95250</xdr:colOff>
      <xdr:row>41</xdr:row>
      <xdr:rowOff>162278</xdr:rowOff>
    </xdr:to>
    <xdr:graphicFrame macro="">
      <xdr:nvGraphicFramePr>
        <xdr:cNvPr id="29" name="Chart 28">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4</xdr:col>
      <xdr:colOff>416983</xdr:colOff>
      <xdr:row>0</xdr:row>
      <xdr:rowOff>0</xdr:rowOff>
    </xdr:from>
    <xdr:ext cx="5210175" cy="474978"/>
    <xdr:sp macro="" textlink="">
      <xdr:nvSpPr>
        <xdr:cNvPr id="33" name="Rectangle 32">
          <a:extLst>
            <a:ext uri="{FF2B5EF4-FFF2-40B4-BE49-F238E27FC236}">
              <a16:creationId xmlns:a16="http://schemas.microsoft.com/office/drawing/2014/main" id="{00000000-0008-0000-0200-000021000000}"/>
            </a:ext>
          </a:extLst>
        </xdr:cNvPr>
        <xdr:cNvSpPr/>
      </xdr:nvSpPr>
      <xdr:spPr>
        <a:xfrm>
          <a:off x="2872316" y="0"/>
          <a:ext cx="5210175" cy="474978"/>
        </a:xfrm>
        <a:prstGeom prst="rect">
          <a:avLst/>
        </a:prstGeom>
        <a:noFill/>
      </xdr:spPr>
      <xdr:txBody>
        <a:bodyPr wrap="square" lIns="91440" tIns="45720" rIns="91440" bIns="45720">
          <a:noAutofit/>
        </a:bodyPr>
        <a:lstStyle/>
        <a:p>
          <a:pPr algn="l"/>
          <a:r>
            <a:rPr lang="en-US" sz="2800" b="1" cap="all" spc="0">
              <a:ln w="0"/>
              <a:solidFill>
                <a:schemeClr val="tx1"/>
              </a:solidFill>
              <a:effectLst>
                <a:outerShdw blurRad="38100" dist="19050" dir="2700000" algn="tl" rotWithShape="0">
                  <a:schemeClr val="dk1">
                    <a:alpha val="40000"/>
                  </a:schemeClr>
                </a:outerShdw>
              </a:effectLst>
            </a:rPr>
            <a:t>Top</a:t>
          </a:r>
          <a:r>
            <a:rPr lang="en-US" sz="2800" b="1" cap="all" spc="0" baseline="0">
              <a:ln w="0"/>
              <a:solidFill>
                <a:schemeClr val="tx1"/>
              </a:solidFill>
              <a:effectLst>
                <a:outerShdw blurRad="38100" dist="19050" dir="2700000" algn="tl" rotWithShape="0">
                  <a:schemeClr val="dk1">
                    <a:alpha val="40000"/>
                  </a:schemeClr>
                </a:outerShdw>
              </a:effectLst>
            </a:rPr>
            <a:t> five companies dashbord</a:t>
          </a:r>
          <a:endParaRPr lang="en-US" sz="2800" b="1" cap="all"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7</xdr:col>
      <xdr:colOff>537047</xdr:colOff>
      <xdr:row>1</xdr:row>
      <xdr:rowOff>168426</xdr:rowOff>
    </xdr:from>
    <xdr:ext cx="1433570" cy="371323"/>
    <xdr:sp macro="" textlink="">
      <xdr:nvSpPr>
        <xdr:cNvPr id="34" name="Rectangle 33">
          <a:extLst>
            <a:ext uri="{FF2B5EF4-FFF2-40B4-BE49-F238E27FC236}">
              <a16:creationId xmlns:a16="http://schemas.microsoft.com/office/drawing/2014/main" id="{00000000-0008-0000-0200-000022000000}"/>
            </a:ext>
          </a:extLst>
        </xdr:cNvPr>
        <xdr:cNvSpPr/>
      </xdr:nvSpPr>
      <xdr:spPr>
        <a:xfrm>
          <a:off x="4833880" y="358926"/>
          <a:ext cx="1433570" cy="371323"/>
        </a:xfrm>
        <a:prstGeom prst="rect">
          <a:avLst/>
        </a:prstGeom>
        <a:noFill/>
      </xdr:spPr>
      <xdr:txBody>
        <a:bodyPr wrap="square" lIns="91440" tIns="45720" rIns="91440" bIns="45720">
          <a:noAutofit/>
        </a:bodyPr>
        <a:lstStyle/>
        <a:p>
          <a:pPr algn="l"/>
          <a:r>
            <a:rPr lang="en-US" sz="1400" b="0" cap="none" spc="0">
              <a:ln w="0"/>
              <a:solidFill>
                <a:schemeClr val="tx1"/>
              </a:solidFill>
              <a:effectLst>
                <a:outerShdw blurRad="38100" dist="19050" dir="2700000" algn="tl" rotWithShape="0">
                  <a:schemeClr val="dk1">
                    <a:alpha val="40000"/>
                  </a:schemeClr>
                </a:outerShdw>
              </a:effectLst>
            </a:rPr>
            <a:t>Sales</a:t>
          </a:r>
          <a:r>
            <a:rPr lang="en-US" sz="1400" b="0" cap="none" spc="0" baseline="0">
              <a:ln w="0"/>
              <a:solidFill>
                <a:schemeClr val="tx1"/>
              </a:solidFill>
              <a:effectLst>
                <a:outerShdw blurRad="38100" dist="19050" dir="2700000" algn="tl" rotWithShape="0">
                  <a:schemeClr val="dk1">
                    <a:alpha val="40000"/>
                  </a:schemeClr>
                </a:outerShdw>
              </a:effectLst>
            </a:rPr>
            <a:t> &amp; Revenue</a:t>
          </a:r>
          <a:endParaRPr lang="en-US" sz="14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0</xdr:col>
      <xdr:colOff>9525</xdr:colOff>
      <xdr:row>5</xdr:row>
      <xdr:rowOff>19051</xdr:rowOff>
    </xdr:from>
    <xdr:to>
      <xdr:col>21</xdr:col>
      <xdr:colOff>28575</xdr:colOff>
      <xdr:row>5</xdr:row>
      <xdr:rowOff>95251</xdr:rowOff>
    </xdr:to>
    <xdr:sp macro="" textlink="">
      <xdr:nvSpPr>
        <xdr:cNvPr id="35" name="Rectangle 34">
          <a:extLst>
            <a:ext uri="{FF2B5EF4-FFF2-40B4-BE49-F238E27FC236}">
              <a16:creationId xmlns:a16="http://schemas.microsoft.com/office/drawing/2014/main" id="{00000000-0008-0000-0200-000023000000}"/>
            </a:ext>
          </a:extLst>
        </xdr:cNvPr>
        <xdr:cNvSpPr/>
      </xdr:nvSpPr>
      <xdr:spPr>
        <a:xfrm>
          <a:off x="9525" y="971551"/>
          <a:ext cx="12820650" cy="762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523875</xdr:colOff>
      <xdr:row>12</xdr:row>
      <xdr:rowOff>142872</xdr:rowOff>
    </xdr:from>
    <xdr:to>
      <xdr:col>8</xdr:col>
      <xdr:colOff>523875</xdr:colOff>
      <xdr:row>14</xdr:row>
      <xdr:rowOff>55561</xdr:rowOff>
    </xdr:to>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a:off x="5413375" y="2428872"/>
          <a:ext cx="0" cy="293689"/>
        </a:xfrm>
        <a:prstGeom prst="line">
          <a:avLst/>
        </a:prstGeom>
        <a:ln w="28575">
          <a:solidFill>
            <a:srgbClr val="00206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3175</xdr:colOff>
      <xdr:row>12</xdr:row>
      <xdr:rowOff>120649</xdr:rowOff>
    </xdr:from>
    <xdr:to>
      <xdr:col>11</xdr:col>
      <xdr:colOff>146050</xdr:colOff>
      <xdr:row>14</xdr:row>
      <xdr:rowOff>79374</xdr:rowOff>
    </xdr:to>
    <xdr:sp macro="" textlink="Sheet1!E7">
      <xdr:nvSpPr>
        <xdr:cNvPr id="80" name="TextBox 79">
          <a:extLst>
            <a:ext uri="{FF2B5EF4-FFF2-40B4-BE49-F238E27FC236}">
              <a16:creationId xmlns:a16="http://schemas.microsoft.com/office/drawing/2014/main" id="{00000000-0008-0000-0200-000050000000}"/>
            </a:ext>
          </a:extLst>
        </xdr:cNvPr>
        <xdr:cNvSpPr txBox="1"/>
      </xdr:nvSpPr>
      <xdr:spPr>
        <a:xfrm>
          <a:off x="5489575" y="2406649"/>
          <a:ext cx="1362075" cy="339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baseline="0">
              <a:solidFill>
                <a:srgbClr val="002060"/>
              </a:solidFill>
              <a:latin typeface="Roboto" pitchFamily="2" charset="0"/>
              <a:ea typeface="Roboto" pitchFamily="2" charset="0"/>
              <a:cs typeface="+mn-cs"/>
            </a:rPr>
            <a:t>Default View:</a:t>
          </a:r>
          <a:endParaRPr lang="en-US" sz="1400" b="1">
            <a:solidFill>
              <a:srgbClr val="002060"/>
            </a:solidFill>
            <a:latin typeface="Roboto" pitchFamily="2" charset="0"/>
            <a:ea typeface="Roboto" pitchFamily="2" charset="0"/>
            <a:cs typeface="+mn-cs"/>
          </a:endParaRPr>
        </a:p>
      </xdr:txBody>
    </xdr:sp>
    <xdr:clientData/>
  </xdr:twoCellAnchor>
  <xdr:twoCellAnchor>
    <xdr:from>
      <xdr:col>7</xdr:col>
      <xdr:colOff>542124</xdr:colOff>
      <xdr:row>28</xdr:row>
      <xdr:rowOff>79374</xdr:rowOff>
    </xdr:from>
    <xdr:to>
      <xdr:col>21</xdr:col>
      <xdr:colOff>0</xdr:colOff>
      <xdr:row>30</xdr:row>
      <xdr:rowOff>45588</xdr:rowOff>
    </xdr:to>
    <xdr:sp macro="" textlink="">
      <xdr:nvSpPr>
        <xdr:cNvPr id="108" name="Rectangle 107">
          <a:extLst>
            <a:ext uri="{FF2B5EF4-FFF2-40B4-BE49-F238E27FC236}">
              <a16:creationId xmlns:a16="http://schemas.microsoft.com/office/drawing/2014/main" id="{00000000-0008-0000-0200-00006C000000}"/>
            </a:ext>
          </a:extLst>
        </xdr:cNvPr>
        <xdr:cNvSpPr/>
      </xdr:nvSpPr>
      <xdr:spPr>
        <a:xfrm>
          <a:off x="5050624" y="5159374"/>
          <a:ext cx="8474876" cy="329071"/>
        </a:xfrm>
        <a:prstGeom prst="rect">
          <a:avLst/>
        </a:prstGeom>
        <a:solidFill>
          <a:schemeClr val="tx1">
            <a:lumMod val="95000"/>
            <a:lumOff val="5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clientData/>
  </xdr:twoCellAnchor>
  <xdr:twoCellAnchor>
    <xdr:from>
      <xdr:col>7</xdr:col>
      <xdr:colOff>571500</xdr:colOff>
      <xdr:row>30</xdr:row>
      <xdr:rowOff>70848</xdr:rowOff>
    </xdr:from>
    <xdr:to>
      <xdr:col>20</xdr:col>
      <xdr:colOff>609598</xdr:colOff>
      <xdr:row>30</xdr:row>
      <xdr:rowOff>116567</xdr:rowOff>
    </xdr:to>
    <xdr:sp macro="" textlink="">
      <xdr:nvSpPr>
        <xdr:cNvPr id="115" name="Rectangle 114">
          <a:extLst>
            <a:ext uri="{FF2B5EF4-FFF2-40B4-BE49-F238E27FC236}">
              <a16:creationId xmlns:a16="http://schemas.microsoft.com/office/drawing/2014/main" id="{00000000-0008-0000-0200-000073000000}"/>
            </a:ext>
          </a:extLst>
        </xdr:cNvPr>
        <xdr:cNvSpPr/>
      </xdr:nvSpPr>
      <xdr:spPr>
        <a:xfrm>
          <a:off x="5080000" y="5513705"/>
          <a:ext cx="8411027" cy="45719"/>
        </a:xfrm>
        <a:prstGeom prst="rect">
          <a:avLst/>
        </a:prstGeom>
        <a:solidFill>
          <a:schemeClr val="tx1">
            <a:lumMod val="95000"/>
            <a:lumOff val="5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571499</xdr:colOff>
      <xdr:row>42</xdr:row>
      <xdr:rowOff>32938</xdr:rowOff>
    </xdr:from>
    <xdr:to>
      <xdr:col>21</xdr:col>
      <xdr:colOff>0</xdr:colOff>
      <xdr:row>42</xdr:row>
      <xdr:rowOff>69585</xdr:rowOff>
    </xdr:to>
    <xdr:sp macro="" textlink="">
      <xdr:nvSpPr>
        <xdr:cNvPr id="1037" name="Rectangle 1036">
          <a:extLst>
            <a:ext uri="{FF2B5EF4-FFF2-40B4-BE49-F238E27FC236}">
              <a16:creationId xmlns:a16="http://schemas.microsoft.com/office/drawing/2014/main" id="{00000000-0008-0000-0200-00000D040000}"/>
            </a:ext>
          </a:extLst>
        </xdr:cNvPr>
        <xdr:cNvSpPr/>
      </xdr:nvSpPr>
      <xdr:spPr>
        <a:xfrm>
          <a:off x="5079999" y="7652938"/>
          <a:ext cx="8445501" cy="36647"/>
        </a:xfrm>
        <a:prstGeom prst="rect">
          <a:avLst/>
        </a:prstGeom>
        <a:solidFill>
          <a:schemeClr val="tx1">
            <a:lumMod val="95000"/>
            <a:lumOff val="5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14</xdr:col>
      <xdr:colOff>180975</xdr:colOff>
      <xdr:row>28</xdr:row>
      <xdr:rowOff>79375</xdr:rowOff>
    </xdr:from>
    <xdr:ext cx="809625" cy="307841"/>
    <xdr:sp macro="" textlink="">
      <xdr:nvSpPr>
        <xdr:cNvPr id="118" name="TextBox 117">
          <a:extLst>
            <a:ext uri="{FF2B5EF4-FFF2-40B4-BE49-F238E27FC236}">
              <a16:creationId xmlns:a16="http://schemas.microsoft.com/office/drawing/2014/main" id="{00000000-0008-0000-0200-000076000000}"/>
            </a:ext>
          </a:extLst>
        </xdr:cNvPr>
        <xdr:cNvSpPr txBox="1"/>
      </xdr:nvSpPr>
      <xdr:spPr>
        <a:xfrm>
          <a:off x="9197975" y="5159375"/>
          <a:ext cx="809625" cy="30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accent4">
                  <a:lumMod val="60000"/>
                  <a:lumOff val="40000"/>
                </a:schemeClr>
              </a:solidFill>
              <a:latin typeface="Roboto" pitchFamily="2" charset="0"/>
              <a:ea typeface="Roboto" pitchFamily="2" charset="0"/>
              <a:cs typeface="+mn-cs"/>
            </a:rPr>
            <a:t>Slicers</a:t>
          </a:r>
        </a:p>
      </xdr:txBody>
    </xdr:sp>
    <xdr:clientData/>
  </xdr:oneCellAnchor>
  <xdr:twoCellAnchor editAs="oneCell">
    <xdr:from>
      <xdr:col>7</xdr:col>
      <xdr:colOff>615498</xdr:colOff>
      <xdr:row>36</xdr:row>
      <xdr:rowOff>26874</xdr:rowOff>
    </xdr:from>
    <xdr:to>
      <xdr:col>14</xdr:col>
      <xdr:colOff>446428</xdr:colOff>
      <xdr:row>41</xdr:row>
      <xdr:rowOff>151154</xdr:rowOff>
    </xdr:to>
    <mc:AlternateContent xmlns:mc="http://schemas.openxmlformats.org/markup-compatibility/2006">
      <mc:Choice xmlns:a14="http://schemas.microsoft.com/office/drawing/2010/main" Requires="a14">
        <xdr:graphicFrame macro="">
          <xdr:nvGraphicFramePr>
            <xdr:cNvPr id="1034" name="Company 1">
              <a:extLst>
                <a:ext uri="{FF2B5EF4-FFF2-40B4-BE49-F238E27FC236}">
                  <a16:creationId xmlns:a16="http://schemas.microsoft.com/office/drawing/2014/main" id="{00000000-0008-0000-0200-00000A040000}"/>
                </a:ext>
              </a:extLst>
            </xdr:cNvPr>
            <xdr:cNvGraphicFramePr/>
          </xdr:nvGraphicFramePr>
          <xdr:xfrm>
            <a:off x="0" y="0"/>
            <a:ext cx="0" cy="0"/>
          </xdr:xfrm>
          <a:graphic>
            <a:graphicData uri="http://schemas.microsoft.com/office/drawing/2010/slicer">
              <sle:slicer xmlns:sle="http://schemas.microsoft.com/office/drawing/2010/slicer" name="Company 1"/>
            </a:graphicData>
          </a:graphic>
        </xdr:graphicFrame>
      </mc:Choice>
      <mc:Fallback>
        <xdr:sp macro="" textlink="">
          <xdr:nvSpPr>
            <xdr:cNvPr id="0" name=""/>
            <xdr:cNvSpPr>
              <a:spLocks noTextEdit="1"/>
            </xdr:cNvSpPr>
          </xdr:nvSpPr>
          <xdr:spPr>
            <a:xfrm>
              <a:off x="5109887" y="6630874"/>
              <a:ext cx="4325319" cy="10415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111829</xdr:colOff>
      <xdr:row>30</xdr:row>
      <xdr:rowOff>174271</xdr:rowOff>
    </xdr:from>
    <xdr:to>
      <xdr:col>1</xdr:col>
      <xdr:colOff>235654</xdr:colOff>
      <xdr:row>31</xdr:row>
      <xdr:rowOff>114651</xdr:rowOff>
    </xdr:to>
    <xdr:sp macro="" textlink="">
      <xdr:nvSpPr>
        <xdr:cNvPr id="1038" name="Flowchart: Connector 1037">
          <a:extLst>
            <a:ext uri="{FF2B5EF4-FFF2-40B4-BE49-F238E27FC236}">
              <a16:creationId xmlns:a16="http://schemas.microsoft.com/office/drawing/2014/main" id="{00000000-0008-0000-0200-00000E040000}"/>
            </a:ext>
          </a:extLst>
        </xdr:cNvPr>
        <xdr:cNvSpPr/>
      </xdr:nvSpPr>
      <xdr:spPr>
        <a:xfrm>
          <a:off x="753885" y="5677604"/>
          <a:ext cx="123825" cy="123825"/>
        </a:xfrm>
        <a:prstGeom prst="flowChartConnector">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216604</xdr:colOff>
      <xdr:row>30</xdr:row>
      <xdr:rowOff>125443</xdr:rowOff>
    </xdr:from>
    <xdr:to>
      <xdr:col>3</xdr:col>
      <xdr:colOff>483305</xdr:colOff>
      <xdr:row>31</xdr:row>
      <xdr:rowOff>174272</xdr:rowOff>
    </xdr:to>
    <xdr:sp macro="" textlink="Anlysis!BI7">
      <xdr:nvSpPr>
        <xdr:cNvPr id="1039" name="TextBox 1038">
          <a:extLst>
            <a:ext uri="{FF2B5EF4-FFF2-40B4-BE49-F238E27FC236}">
              <a16:creationId xmlns:a16="http://schemas.microsoft.com/office/drawing/2014/main" id="{00000000-0008-0000-0200-00000F040000}"/>
            </a:ext>
          </a:extLst>
        </xdr:cNvPr>
        <xdr:cNvSpPr txBox="1"/>
      </xdr:nvSpPr>
      <xdr:spPr>
        <a:xfrm>
          <a:off x="858660" y="5628776"/>
          <a:ext cx="1550812" cy="232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chemeClr val="accent1">
                  <a:lumMod val="75000"/>
                </a:schemeClr>
              </a:solidFill>
              <a:latin typeface="Roboto" panose="02000000000000000000" pitchFamily="2" charset="0"/>
              <a:ea typeface="Roboto" panose="02000000000000000000" pitchFamily="2" charset="0"/>
              <a:cs typeface="Roboto" panose="02000000000000000000" pitchFamily="2" charset="0"/>
            </a:rPr>
            <a:t>Growth(2003-2004)</a:t>
          </a:r>
        </a:p>
      </xdr:txBody>
    </xdr:sp>
    <xdr:clientData/>
  </xdr:twoCellAnchor>
  <xdr:twoCellAnchor>
    <xdr:from>
      <xdr:col>0</xdr:col>
      <xdr:colOff>0</xdr:colOff>
      <xdr:row>46</xdr:row>
      <xdr:rowOff>144140</xdr:rowOff>
    </xdr:from>
    <xdr:to>
      <xdr:col>0</xdr:col>
      <xdr:colOff>0</xdr:colOff>
      <xdr:row>47</xdr:row>
      <xdr:rowOff>114300</xdr:rowOff>
    </xdr:to>
    <xdr:sp macro="" textlink="">
      <xdr:nvSpPr>
        <xdr:cNvPr id="1040" name="Rectangle: Rounded Corners 1039">
          <a:extLst>
            <a:ext uri="{FF2B5EF4-FFF2-40B4-BE49-F238E27FC236}">
              <a16:creationId xmlns:a16="http://schemas.microsoft.com/office/drawing/2014/main" id="{00000000-0008-0000-0200-000010040000}"/>
            </a:ext>
          </a:extLst>
        </xdr:cNvPr>
        <xdr:cNvSpPr/>
      </xdr:nvSpPr>
      <xdr:spPr>
        <a:xfrm>
          <a:off x="0" y="8907140"/>
          <a:ext cx="0" cy="160660"/>
        </a:xfrm>
        <a:prstGeom prst="roundRect">
          <a:avLst/>
        </a:prstGeom>
        <a:solidFill>
          <a:srgbClr val="9EC3C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254704</xdr:colOff>
      <xdr:row>31</xdr:row>
      <xdr:rowOff>351</xdr:rowOff>
    </xdr:from>
    <xdr:to>
      <xdr:col>4</xdr:col>
      <xdr:colOff>378529</xdr:colOff>
      <xdr:row>31</xdr:row>
      <xdr:rowOff>124176</xdr:rowOff>
    </xdr:to>
    <xdr:sp macro="" textlink="">
      <xdr:nvSpPr>
        <xdr:cNvPr id="1042" name="Flowchart: Connector 1041">
          <a:extLst>
            <a:ext uri="{FF2B5EF4-FFF2-40B4-BE49-F238E27FC236}">
              <a16:creationId xmlns:a16="http://schemas.microsoft.com/office/drawing/2014/main" id="{00000000-0008-0000-0200-000012040000}"/>
            </a:ext>
          </a:extLst>
        </xdr:cNvPr>
        <xdr:cNvSpPr/>
      </xdr:nvSpPr>
      <xdr:spPr>
        <a:xfrm>
          <a:off x="2822926" y="5687129"/>
          <a:ext cx="123825" cy="123825"/>
        </a:xfrm>
        <a:prstGeom prst="flowChartConnector">
          <a:avLst/>
        </a:prstGeom>
        <a:solidFill>
          <a:srgbClr val="30A9B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369004</xdr:colOff>
      <xdr:row>30</xdr:row>
      <xdr:rowOff>134968</xdr:rowOff>
    </xdr:from>
    <xdr:to>
      <xdr:col>7</xdr:col>
      <xdr:colOff>26105</xdr:colOff>
      <xdr:row>32</xdr:row>
      <xdr:rowOff>353</xdr:rowOff>
    </xdr:to>
    <xdr:sp macro="" textlink="Anlysis!BI7">
      <xdr:nvSpPr>
        <xdr:cNvPr id="1043" name="TextBox 1042">
          <a:extLst>
            <a:ext uri="{FF2B5EF4-FFF2-40B4-BE49-F238E27FC236}">
              <a16:creationId xmlns:a16="http://schemas.microsoft.com/office/drawing/2014/main" id="{00000000-0008-0000-0200-000013040000}"/>
            </a:ext>
          </a:extLst>
        </xdr:cNvPr>
        <xdr:cNvSpPr txBox="1"/>
      </xdr:nvSpPr>
      <xdr:spPr>
        <a:xfrm>
          <a:off x="2937226" y="5638301"/>
          <a:ext cx="1583268" cy="232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rgbClr val="30A9B4"/>
              </a:solidFill>
              <a:latin typeface="Roboto" panose="02000000000000000000" pitchFamily="2" charset="0"/>
              <a:ea typeface="Roboto" panose="02000000000000000000" pitchFamily="2" charset="0"/>
              <a:cs typeface="Roboto" panose="02000000000000000000" pitchFamily="2" charset="0"/>
            </a:rPr>
            <a:t>Growth(2004-2005)</a:t>
          </a:r>
        </a:p>
      </xdr:txBody>
    </xdr:sp>
    <xdr:clientData/>
  </xdr:twoCellAnchor>
  <xdr:twoCellAnchor editAs="oneCell">
    <xdr:from>
      <xdr:col>3</xdr:col>
      <xdr:colOff>381005</xdr:colOff>
      <xdr:row>0</xdr:row>
      <xdr:rowOff>74085</xdr:rowOff>
    </xdr:from>
    <xdr:to>
      <xdr:col>4</xdr:col>
      <xdr:colOff>275171</xdr:colOff>
      <xdr:row>3</xdr:row>
      <xdr:rowOff>10584</xdr:rowOff>
    </xdr:to>
    <xdr:pic>
      <xdr:nvPicPr>
        <xdr:cNvPr id="1048" name="Picture 1047">
          <a:extLst>
            <a:ext uri="{FF2B5EF4-FFF2-40B4-BE49-F238E27FC236}">
              <a16:creationId xmlns:a16="http://schemas.microsoft.com/office/drawing/2014/main" id="{00000000-0008-0000-0200-0000180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222505" y="74085"/>
          <a:ext cx="507999" cy="507999"/>
        </a:xfrm>
        <a:prstGeom prst="rect">
          <a:avLst/>
        </a:prstGeom>
      </xdr:spPr>
    </xdr:pic>
    <xdr:clientData/>
  </xdr:twoCellAnchor>
  <xdr:twoCellAnchor>
    <xdr:from>
      <xdr:col>14</xdr:col>
      <xdr:colOff>496994</xdr:colOff>
      <xdr:row>33</xdr:row>
      <xdr:rowOff>92530</xdr:rowOff>
    </xdr:from>
    <xdr:to>
      <xdr:col>20</xdr:col>
      <xdr:colOff>635908</xdr:colOff>
      <xdr:row>35</xdr:row>
      <xdr:rowOff>39687</xdr:rowOff>
    </xdr:to>
    <xdr:sp macro="" textlink="">
      <xdr:nvSpPr>
        <xdr:cNvPr id="1054" name="Rectangle 1053">
          <a:extLst>
            <a:ext uri="{FF2B5EF4-FFF2-40B4-BE49-F238E27FC236}">
              <a16:creationId xmlns:a16="http://schemas.microsoft.com/office/drawing/2014/main" id="{00000000-0008-0000-0200-00001E040000}"/>
            </a:ext>
          </a:extLst>
        </xdr:cNvPr>
        <xdr:cNvSpPr/>
      </xdr:nvSpPr>
      <xdr:spPr>
        <a:xfrm>
          <a:off x="9513994" y="6079673"/>
          <a:ext cx="4003343" cy="310014"/>
        </a:xfrm>
        <a:prstGeom prst="rect">
          <a:avLst/>
        </a:prstGeom>
        <a:solidFill>
          <a:srgbClr val="7CD3DC"/>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clientData/>
  </xdr:twoCellAnchor>
  <xdr:twoCellAnchor>
    <xdr:from>
      <xdr:col>7</xdr:col>
      <xdr:colOff>626384</xdr:colOff>
      <xdr:row>33</xdr:row>
      <xdr:rowOff>102055</xdr:rowOff>
    </xdr:from>
    <xdr:to>
      <xdr:col>14</xdr:col>
      <xdr:colOff>450610</xdr:colOff>
      <xdr:row>35</xdr:row>
      <xdr:rowOff>6350</xdr:rowOff>
    </xdr:to>
    <xdr:sp macro="" textlink="">
      <xdr:nvSpPr>
        <xdr:cNvPr id="1055" name="Rectangle 1054">
          <a:extLst>
            <a:ext uri="{FF2B5EF4-FFF2-40B4-BE49-F238E27FC236}">
              <a16:creationId xmlns:a16="http://schemas.microsoft.com/office/drawing/2014/main" id="{00000000-0008-0000-0200-00001F040000}"/>
            </a:ext>
          </a:extLst>
        </xdr:cNvPr>
        <xdr:cNvSpPr/>
      </xdr:nvSpPr>
      <xdr:spPr>
        <a:xfrm>
          <a:off x="5134884" y="6089198"/>
          <a:ext cx="4332726" cy="267152"/>
        </a:xfrm>
        <a:prstGeom prst="rect">
          <a:avLst/>
        </a:prstGeom>
        <a:solidFill>
          <a:srgbClr val="7CD3DC"/>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endParaRPr>
        </a:p>
      </xdr:txBody>
    </xdr:sp>
    <xdr:clientData/>
  </xdr:twoCellAnchor>
  <xdr:twoCellAnchor>
    <xdr:from>
      <xdr:col>7</xdr:col>
      <xdr:colOff>632719</xdr:colOff>
      <xdr:row>30</xdr:row>
      <xdr:rowOff>175759</xdr:rowOff>
    </xdr:from>
    <xdr:to>
      <xdr:col>10</xdr:col>
      <xdr:colOff>585787</xdr:colOff>
      <xdr:row>32</xdr:row>
      <xdr:rowOff>137659</xdr:rowOff>
    </xdr:to>
    <xdr:sp macro="" textlink="">
      <xdr:nvSpPr>
        <xdr:cNvPr id="1057" name="Rectangle: Rounded Corners 1056">
          <a:extLst>
            <a:ext uri="{FF2B5EF4-FFF2-40B4-BE49-F238E27FC236}">
              <a16:creationId xmlns:a16="http://schemas.microsoft.com/office/drawing/2014/main" id="{00000000-0008-0000-0200-000021040000}"/>
            </a:ext>
          </a:extLst>
        </xdr:cNvPr>
        <xdr:cNvSpPr/>
      </xdr:nvSpPr>
      <xdr:spPr>
        <a:xfrm>
          <a:off x="5141219" y="5618616"/>
          <a:ext cx="1885282" cy="324757"/>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300"/>
        </a:p>
      </xdr:txBody>
    </xdr:sp>
    <xdr:clientData/>
  </xdr:twoCellAnchor>
  <xdr:oneCellAnchor>
    <xdr:from>
      <xdr:col>8</xdr:col>
      <xdr:colOff>156710</xdr:colOff>
      <xdr:row>31</xdr:row>
      <xdr:rowOff>8618</xdr:rowOff>
    </xdr:from>
    <xdr:ext cx="1604962" cy="307841"/>
    <xdr:sp macro="" textlink="">
      <xdr:nvSpPr>
        <xdr:cNvPr id="1050" name="TextBox 1049">
          <a:extLst>
            <a:ext uri="{FF2B5EF4-FFF2-40B4-BE49-F238E27FC236}">
              <a16:creationId xmlns:a16="http://schemas.microsoft.com/office/drawing/2014/main" id="{00000000-0008-0000-0200-00001A040000}"/>
            </a:ext>
          </a:extLst>
        </xdr:cNvPr>
        <xdr:cNvSpPr txBox="1"/>
      </xdr:nvSpPr>
      <xdr:spPr>
        <a:xfrm>
          <a:off x="5309281" y="5632904"/>
          <a:ext cx="1604962" cy="30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solidFill>
              <a:latin typeface="Roboto" pitchFamily="2" charset="0"/>
              <a:ea typeface="Roboto" pitchFamily="2" charset="0"/>
              <a:cs typeface="+mn-cs"/>
            </a:rPr>
            <a:t>Filter</a:t>
          </a:r>
          <a:r>
            <a:rPr lang="en-US" sz="1400" b="1" baseline="0">
              <a:solidFill>
                <a:schemeClr val="bg1"/>
              </a:solidFill>
              <a:latin typeface="Roboto" pitchFamily="2" charset="0"/>
              <a:ea typeface="Roboto" pitchFamily="2" charset="0"/>
              <a:cs typeface="+mn-cs"/>
            </a:rPr>
            <a:t> by Products</a:t>
          </a:r>
          <a:endParaRPr lang="en-US" sz="1400" b="1">
            <a:solidFill>
              <a:schemeClr val="bg1"/>
            </a:solidFill>
            <a:latin typeface="Roboto" pitchFamily="2" charset="0"/>
            <a:ea typeface="Roboto" pitchFamily="2" charset="0"/>
            <a:cs typeface="+mn-cs"/>
          </a:endParaRPr>
        </a:p>
      </xdr:txBody>
    </xdr:sp>
    <xdr:clientData/>
  </xdr:oneCellAnchor>
  <xdr:twoCellAnchor>
    <xdr:from>
      <xdr:col>9</xdr:col>
      <xdr:colOff>540077</xdr:colOff>
      <xdr:row>34</xdr:row>
      <xdr:rowOff>4083</xdr:rowOff>
    </xdr:from>
    <xdr:to>
      <xdr:col>12</xdr:col>
      <xdr:colOff>493145</xdr:colOff>
      <xdr:row>35</xdr:row>
      <xdr:rowOff>147411</xdr:rowOff>
    </xdr:to>
    <xdr:sp macro="" textlink="">
      <xdr:nvSpPr>
        <xdr:cNvPr id="1058" name="Rectangle: Rounded Corners 1057">
          <a:extLst>
            <a:ext uri="{FF2B5EF4-FFF2-40B4-BE49-F238E27FC236}">
              <a16:creationId xmlns:a16="http://schemas.microsoft.com/office/drawing/2014/main" id="{00000000-0008-0000-0200-000022040000}"/>
            </a:ext>
          </a:extLst>
        </xdr:cNvPr>
        <xdr:cNvSpPr/>
      </xdr:nvSpPr>
      <xdr:spPr>
        <a:xfrm>
          <a:off x="6336720" y="6172654"/>
          <a:ext cx="1885282" cy="324757"/>
        </a:xfrm>
        <a:prstGeom prst="roundRect">
          <a:avLst/>
        </a:prstGeom>
        <a:solidFill>
          <a:srgbClr val="002060"/>
        </a:solidFill>
        <a:ln w="19050">
          <a:solidFill>
            <a:srgbClr val="30A9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300"/>
        </a:p>
      </xdr:txBody>
    </xdr:sp>
    <xdr:clientData/>
  </xdr:twoCellAnchor>
  <xdr:oneCellAnchor>
    <xdr:from>
      <xdr:col>10</xdr:col>
      <xdr:colOff>69849</xdr:colOff>
      <xdr:row>33</xdr:row>
      <xdr:rowOff>174059</xdr:rowOff>
    </xdr:from>
    <xdr:ext cx="2028825" cy="307841"/>
    <xdr:sp macro="" textlink="">
      <xdr:nvSpPr>
        <xdr:cNvPr id="1051" name="TextBox 1050">
          <a:extLst>
            <a:ext uri="{FF2B5EF4-FFF2-40B4-BE49-F238E27FC236}">
              <a16:creationId xmlns:a16="http://schemas.microsoft.com/office/drawing/2014/main" id="{00000000-0008-0000-0200-00001B040000}"/>
            </a:ext>
          </a:extLst>
        </xdr:cNvPr>
        <xdr:cNvSpPr txBox="1"/>
      </xdr:nvSpPr>
      <xdr:spPr>
        <a:xfrm>
          <a:off x="6510563" y="6161202"/>
          <a:ext cx="2028825" cy="30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solidFill>
              <a:latin typeface="Roboto" pitchFamily="2" charset="0"/>
              <a:ea typeface="Roboto" pitchFamily="2" charset="0"/>
              <a:cs typeface="+mn-cs"/>
            </a:rPr>
            <a:t>Filter</a:t>
          </a:r>
          <a:r>
            <a:rPr lang="en-US" sz="1400" b="1" baseline="0">
              <a:solidFill>
                <a:schemeClr val="bg1"/>
              </a:solidFill>
              <a:latin typeface="Roboto" pitchFamily="2" charset="0"/>
              <a:ea typeface="Roboto" pitchFamily="2" charset="0"/>
              <a:cs typeface="+mn-cs"/>
            </a:rPr>
            <a:t> by Company</a:t>
          </a:r>
          <a:endParaRPr lang="en-US" sz="1400" b="1">
            <a:solidFill>
              <a:schemeClr val="bg1"/>
            </a:solidFill>
            <a:latin typeface="Roboto" pitchFamily="2" charset="0"/>
            <a:ea typeface="Roboto" pitchFamily="2" charset="0"/>
            <a:cs typeface="+mn-cs"/>
          </a:endParaRPr>
        </a:p>
      </xdr:txBody>
    </xdr:sp>
    <xdr:clientData/>
  </xdr:oneCellAnchor>
  <xdr:twoCellAnchor>
    <xdr:from>
      <xdr:col>16</xdr:col>
      <xdr:colOff>155563</xdr:colOff>
      <xdr:row>34</xdr:row>
      <xdr:rowOff>1702</xdr:rowOff>
    </xdr:from>
    <xdr:to>
      <xdr:col>19</xdr:col>
      <xdr:colOff>208642</xdr:colOff>
      <xdr:row>35</xdr:row>
      <xdr:rowOff>145030</xdr:rowOff>
    </xdr:to>
    <xdr:sp macro="" textlink="">
      <xdr:nvSpPr>
        <xdr:cNvPr id="1059" name="Rectangle: Rounded Corners 1058">
          <a:extLst>
            <a:ext uri="{FF2B5EF4-FFF2-40B4-BE49-F238E27FC236}">
              <a16:creationId xmlns:a16="http://schemas.microsoft.com/office/drawing/2014/main" id="{00000000-0008-0000-0200-000023040000}"/>
            </a:ext>
          </a:extLst>
        </xdr:cNvPr>
        <xdr:cNvSpPr/>
      </xdr:nvSpPr>
      <xdr:spPr>
        <a:xfrm>
          <a:off x="10460706" y="6170273"/>
          <a:ext cx="1985293" cy="324757"/>
        </a:xfrm>
        <a:prstGeom prst="roundRect">
          <a:avLst/>
        </a:prstGeom>
        <a:solidFill>
          <a:srgbClr val="002060"/>
        </a:solidFill>
        <a:ln w="19050">
          <a:solidFill>
            <a:srgbClr val="30A9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300"/>
        </a:p>
      </xdr:txBody>
    </xdr:sp>
    <xdr:clientData/>
  </xdr:twoCellAnchor>
  <xdr:oneCellAnchor>
    <xdr:from>
      <xdr:col>16</xdr:col>
      <xdr:colOff>270782</xdr:colOff>
      <xdr:row>33</xdr:row>
      <xdr:rowOff>177800</xdr:rowOff>
    </xdr:from>
    <xdr:ext cx="2028825" cy="307841"/>
    <xdr:sp macro="" textlink="">
      <xdr:nvSpPr>
        <xdr:cNvPr id="1052" name="TextBox 1051">
          <a:extLst>
            <a:ext uri="{FF2B5EF4-FFF2-40B4-BE49-F238E27FC236}">
              <a16:creationId xmlns:a16="http://schemas.microsoft.com/office/drawing/2014/main" id="{00000000-0008-0000-0200-00001C040000}"/>
            </a:ext>
          </a:extLst>
        </xdr:cNvPr>
        <xdr:cNvSpPr txBox="1"/>
      </xdr:nvSpPr>
      <xdr:spPr>
        <a:xfrm>
          <a:off x="10575925" y="6164943"/>
          <a:ext cx="2028825" cy="307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a:solidFill>
                <a:schemeClr val="bg1"/>
              </a:solidFill>
              <a:latin typeface="Roboto" pitchFamily="2" charset="0"/>
              <a:ea typeface="Roboto" pitchFamily="2" charset="0"/>
              <a:cs typeface="+mn-cs"/>
            </a:rPr>
            <a:t>Filter</a:t>
          </a:r>
          <a:r>
            <a:rPr lang="en-US" sz="1400" b="1" baseline="0">
              <a:solidFill>
                <a:schemeClr val="bg1"/>
              </a:solidFill>
              <a:latin typeface="Roboto" pitchFamily="2" charset="0"/>
              <a:ea typeface="Roboto" pitchFamily="2" charset="0"/>
              <a:cs typeface="+mn-cs"/>
            </a:rPr>
            <a:t> by Presentitive</a:t>
          </a:r>
          <a:endParaRPr lang="en-US" sz="1400" b="1">
            <a:solidFill>
              <a:schemeClr val="bg1"/>
            </a:solidFill>
            <a:latin typeface="Roboto" pitchFamily="2" charset="0"/>
            <a:ea typeface="Roboto" pitchFamily="2" charset="0"/>
            <a:cs typeface="+mn-cs"/>
          </a:endParaRPr>
        </a:p>
      </xdr:txBody>
    </xdr:sp>
    <xdr:clientData/>
  </xdr:oneCellAnchor>
  <xdr:twoCellAnchor>
    <xdr:from>
      <xdr:col>20</xdr:col>
      <xdr:colOff>579138</xdr:colOff>
      <xdr:row>0</xdr:row>
      <xdr:rowOff>2</xdr:rowOff>
    </xdr:from>
    <xdr:to>
      <xdr:col>20</xdr:col>
      <xdr:colOff>627948</xdr:colOff>
      <xdr:row>42</xdr:row>
      <xdr:rowOff>42337</xdr:rowOff>
    </xdr:to>
    <xdr:sp macro="" textlink="">
      <xdr:nvSpPr>
        <xdr:cNvPr id="1060" name="Rectangle 1059">
          <a:extLst>
            <a:ext uri="{FF2B5EF4-FFF2-40B4-BE49-F238E27FC236}">
              <a16:creationId xmlns:a16="http://schemas.microsoft.com/office/drawing/2014/main" id="{00000000-0008-0000-0200-000024040000}"/>
            </a:ext>
          </a:extLst>
        </xdr:cNvPr>
        <xdr:cNvSpPr/>
      </xdr:nvSpPr>
      <xdr:spPr>
        <a:xfrm rot="5400000" flipV="1">
          <a:off x="9571153" y="3849098"/>
          <a:ext cx="7747002" cy="48810"/>
        </a:xfrm>
        <a:prstGeom prst="rect">
          <a:avLst/>
        </a:prstGeom>
        <a:solidFill>
          <a:schemeClr val="tx1">
            <a:lumMod val="95000"/>
            <a:lumOff val="5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23813</xdr:colOff>
      <xdr:row>0</xdr:row>
      <xdr:rowOff>0</xdr:rowOff>
    </xdr:from>
    <xdr:to>
      <xdr:col>0</xdr:col>
      <xdr:colOff>72574</xdr:colOff>
      <xdr:row>44</xdr:row>
      <xdr:rowOff>35719</xdr:rowOff>
    </xdr:to>
    <xdr:sp macro="" textlink="">
      <xdr:nvSpPr>
        <xdr:cNvPr id="1061" name="Rectangle 1060">
          <a:extLst>
            <a:ext uri="{FF2B5EF4-FFF2-40B4-BE49-F238E27FC236}">
              <a16:creationId xmlns:a16="http://schemas.microsoft.com/office/drawing/2014/main" id="{00000000-0008-0000-0200-000025040000}"/>
            </a:ext>
          </a:extLst>
        </xdr:cNvPr>
        <xdr:cNvSpPr/>
      </xdr:nvSpPr>
      <xdr:spPr>
        <a:xfrm rot="5400000" flipV="1">
          <a:off x="-3961094" y="3984907"/>
          <a:ext cx="8018576" cy="48761"/>
        </a:xfrm>
        <a:prstGeom prst="rect">
          <a:avLst/>
        </a:prstGeom>
        <a:solidFill>
          <a:schemeClr val="tx1">
            <a:lumMod val="95000"/>
            <a:lumOff val="5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7057</xdr:colOff>
      <xdr:row>42</xdr:row>
      <xdr:rowOff>41908</xdr:rowOff>
    </xdr:from>
    <xdr:to>
      <xdr:col>7</xdr:col>
      <xdr:colOff>464257</xdr:colOff>
      <xdr:row>42</xdr:row>
      <xdr:rowOff>87627</xdr:rowOff>
    </xdr:to>
    <xdr:sp macro="" textlink="">
      <xdr:nvSpPr>
        <xdr:cNvPr id="1062" name="Rectangle 1061">
          <a:extLst>
            <a:ext uri="{FF2B5EF4-FFF2-40B4-BE49-F238E27FC236}">
              <a16:creationId xmlns:a16="http://schemas.microsoft.com/office/drawing/2014/main" id="{00000000-0008-0000-0200-000026040000}"/>
            </a:ext>
          </a:extLst>
        </xdr:cNvPr>
        <xdr:cNvSpPr/>
      </xdr:nvSpPr>
      <xdr:spPr>
        <a:xfrm>
          <a:off x="7057" y="7746575"/>
          <a:ext cx="4951589" cy="45719"/>
        </a:xfrm>
        <a:prstGeom prst="rect">
          <a:avLst/>
        </a:prstGeom>
        <a:solidFill>
          <a:schemeClr val="tx1">
            <a:lumMod val="95000"/>
            <a:lumOff val="5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547875</xdr:colOff>
      <xdr:row>30</xdr:row>
      <xdr:rowOff>121885</xdr:rowOff>
    </xdr:from>
    <xdr:to>
      <xdr:col>7</xdr:col>
      <xdr:colOff>620888</xdr:colOff>
      <xdr:row>42</xdr:row>
      <xdr:rowOff>56447</xdr:rowOff>
    </xdr:to>
    <xdr:sp macro="" textlink="">
      <xdr:nvSpPr>
        <xdr:cNvPr id="1049" name="Rectangle 1048">
          <a:extLst>
            <a:ext uri="{FF2B5EF4-FFF2-40B4-BE49-F238E27FC236}">
              <a16:creationId xmlns:a16="http://schemas.microsoft.com/office/drawing/2014/main" id="{00000000-0008-0000-0200-000019040000}"/>
            </a:ext>
          </a:extLst>
        </xdr:cNvPr>
        <xdr:cNvSpPr/>
      </xdr:nvSpPr>
      <xdr:spPr>
        <a:xfrm rot="5400000" flipV="1">
          <a:off x="4010823" y="6656659"/>
          <a:ext cx="2135896" cy="73013"/>
        </a:xfrm>
        <a:prstGeom prst="rect">
          <a:avLst/>
        </a:prstGeom>
        <a:solidFill>
          <a:schemeClr val="tx1">
            <a:lumMod val="95000"/>
            <a:lumOff val="5000"/>
          </a:schemeClr>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NAN JOY CHANDRO ROY" refreshedDate="45788.570869675925" createdVersion="8" refreshedVersion="8" minRefreshableVersion="3" recordCount="7" xr:uid="{70DF24AF-3727-4177-A3CC-8131B20055A2}">
  <cacheSource type="worksheet">
    <worksheetSource name="Table2"/>
  </cacheSource>
  <cacheFields count="13">
    <cacheField name="Products" numFmtId="0">
      <sharedItems count="7">
        <s v="Classic Cars "/>
        <s v="Motorcycles"/>
        <s v="Planes"/>
        <s v="Ships"/>
        <s v="Trains"/>
        <s v="Trucks and Buses"/>
        <s v="Vintage Cars"/>
      </sharedItems>
    </cacheField>
    <cacheField name="2003" numFmtId="3">
      <sharedItems containsSemiMixedTypes="0" containsString="0" containsNumber="1" minValue="2600.0817860000002" maxValue="4056.7904100000001"/>
    </cacheField>
    <cacheField name="2004" numFmtId="3">
      <sharedItems containsSemiMixedTypes="0" containsString="0" containsNumber="1" minValue="2969.0258260000001" maxValue="3987.0069910000002"/>
    </cacheField>
    <cacheField name="2005" numFmtId="3">
      <sharedItems containsSemiMixedTypes="0" containsString="0" containsNumber="1" minValue="3076.4441670000001" maxValue="4230.0206289999996"/>
    </cacheField>
    <cacheField name="Total Amount" numFmtId="3">
      <sharedItems containsSemiMixedTypes="0" containsString="0" containsNumber="1" minValue="8825.8191960000004" maxValue="12273.818029999999"/>
    </cacheField>
    <cacheField name="Growth % (2003-2005)" numFmtId="10">
      <sharedItems containsSemiMixedTypes="0" containsString="0" containsNumber="1" minValue="-4.9259312196261132E-2" maxValue="0.19046801167723845"/>
    </cacheField>
    <cacheField name="Product Code" numFmtId="3">
      <sharedItems/>
    </cacheField>
    <cacheField name="Company" numFmtId="3">
      <sharedItems count="5">
        <s v="Euro Shopping Channel"/>
        <s v="Mini Gifts Distributors Ltd."/>
        <s v="Australian Collectors, Co."/>
        <s v="La Rochelle Gifts"/>
        <s v="Muscle Machine Inc"/>
      </sharedItems>
    </cacheField>
    <cacheField name="Company Rank" numFmtId="3">
      <sharedItems containsSemiMixedTypes="0" containsString="0" containsNumber="1" containsInteger="1" minValue="1" maxValue="5"/>
    </cacheField>
    <cacheField name="Company Revenue" numFmtId="3">
      <sharedItems containsSemiMixedTypes="0" containsString="0" containsNumber="1" minValue="151782.04" maxValue="766195.05"/>
    </cacheField>
    <cacheField name="Sales Representitive" numFmtId="0">
      <sharedItems count="3">
        <s v="Katie Stanton"/>
        <s v="Tracy Lee"/>
        <s v="Elizabeth Guerrero"/>
      </sharedItems>
    </cacheField>
    <cacheField name="Sell Growth(2003-2004)" numFmtId="10">
      <sharedItems containsSemiMixedTypes="0" containsString="0" containsNumber="1" minValue="-2.5240313128099302E-2" maxValue="0.21122853133205244"/>
    </cacheField>
    <cacheField name="Sell Growth(2004-2005)" numFmtId="10">
      <sharedItems containsSemiMixedTypes="0" containsString="0" containsNumber="1" minValue="-2.5129115866809628E-2" maxValue="0.18515752086087223"/>
    </cacheField>
  </cacheFields>
  <extLst>
    <ext xmlns:x14="http://schemas.microsoft.com/office/spreadsheetml/2009/9/main" uri="{725AE2AE-9491-48be-B2B4-4EB974FC3084}">
      <x14:pivotCacheDefinition pivotCacheId="5706452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4056.7904100000001"/>
    <n v="3987.0069910000002"/>
    <n v="4230.0206289999996"/>
    <n v="12273.818029999999"/>
    <n v="4.2701298685035978E-2"/>
    <s v="pro1"/>
    <x v="0"/>
    <n v="1"/>
    <n v="766195.05"/>
    <x v="0"/>
    <n v="-1.7201632805082447E-2"/>
    <n v="6.0951395005968634E-2"/>
  </r>
  <r>
    <x v="1"/>
    <n v="3402.7117429999998"/>
    <n v="3417.9587200000001"/>
    <n v="4050.8194830000002"/>
    <n v="10871.489946000002"/>
    <n v="0.19046801167723845"/>
    <s v="pro1"/>
    <x v="0"/>
    <n v="1"/>
    <n v="766195.05"/>
    <x v="0"/>
    <n v="4.4808312168569857E-3"/>
    <n v="0.18515752086087223"/>
  </r>
  <r>
    <x v="2"/>
    <n v="3203.0305880000001"/>
    <n v="3122.1850930000001"/>
    <n v="3334.5695000000001"/>
    <n v="9659.7851809999993"/>
    <n v="4.1067017122098114E-2"/>
    <s v="pro2"/>
    <x v="1"/>
    <n v="2"/>
    <n v="530587.18999999994"/>
    <x v="1"/>
    <n v="-2.5240313128099302E-2"/>
    <n v="6.8024284491066844E-2"/>
  </r>
  <r>
    <x v="3"/>
    <n v="3022.4825930000002"/>
    <n v="2969.0258260000001"/>
    <n v="3373.107105"/>
    <n v="9364.6155240000007"/>
    <n v="0.11600546941512191"/>
    <s v="pro2"/>
    <x v="1"/>
    <n v="2"/>
    <n v="530587.18999999994"/>
    <x v="2"/>
    <n v="-1.7686377127135409E-2"/>
    <n v="0.13609894378870924"/>
  </r>
  <r>
    <x v="4"/>
    <n v="2600.0817860000002"/>
    <n v="3149.2932430000001"/>
    <n v="3076.4441670000001"/>
    <n v="8825.8191960000004"/>
    <n v="0.18321053728576825"/>
    <s v="pro3"/>
    <x v="2"/>
    <n v="3"/>
    <n v="164575.87"/>
    <x v="1"/>
    <n v="0.21122853133205244"/>
    <n v="-2.3131880831333548E-2"/>
  </r>
  <r>
    <x v="5"/>
    <n v="3822.0902729999998"/>
    <n v="3727.4851410000001"/>
    <n v="3633.8167349999999"/>
    <n v="11183.392148999999"/>
    <n v="-4.9259312196261132E-2"/>
    <s v="pro4"/>
    <x v="3"/>
    <n v="4"/>
    <n v="153909.82"/>
    <x v="0"/>
    <n v="-2.4752197159839215E-2"/>
    <n v="-2.5129115866809628E-2"/>
  </r>
  <r>
    <x v="6"/>
    <n v="2945.6459730000001"/>
    <n v="3209.2386270000002"/>
    <n v="3340.581471"/>
    <n v="9495.4660710000007"/>
    <n v="0.1340743258422793"/>
    <s v="pro5"/>
    <x v="4"/>
    <n v="5"/>
    <n v="151782.04"/>
    <x v="0"/>
    <n v="8.948551740980043E-2"/>
    <n v="4.09264810958539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95BC20-1E58-4E06-8639-D53703AA8DBE}" name="PivotTable5"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chartFormat="47">
  <location ref="BE5:BF6" firstHeaderRow="1" firstDataRow="1" firstDataCol="1"/>
  <pivotFields count="13">
    <pivotField compact="0" showAll="0" defaultSubtotal="0">
      <items count="7">
        <item x="0"/>
        <item h="1" x="1"/>
        <item h="1" x="2"/>
        <item h="1" x="3"/>
        <item h="1" x="4"/>
        <item h="1" x="5"/>
        <item h="1" x="6"/>
      </items>
    </pivotField>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axis="axisRow" compact="0" showAll="0" defaultSubtotal="0">
      <items count="5">
        <item x="2"/>
        <item x="0"/>
        <item x="3"/>
        <item x="1"/>
        <item x="4"/>
      </items>
    </pivotField>
    <pivotField compact="0" numFmtId="3" showAll="0" defaultSubtotal="0"/>
    <pivotField dataField="1"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7"/>
  </rowFields>
  <rowItems count="1">
    <i>
      <x v="1"/>
    </i>
  </rowItems>
  <colItems count="1">
    <i/>
  </colItems>
  <dataFields count="1">
    <dataField name="Sum of Company Revenue" fld="9" baseField="0" baseItem="0" numFmtId="3"/>
  </dataFields>
  <chartFormats count="5">
    <chartFormat chart="31" format="2" series="1">
      <pivotArea type="data" outline="0" fieldPosition="0">
        <references count="1">
          <reference field="4294967294" count="1" selected="0">
            <x v="0"/>
          </reference>
        </references>
      </pivotArea>
    </chartFormat>
    <chartFormat chart="31" format="3" series="1">
      <pivotArea type="data" outline="0" fieldPosition="0">
        <references count="2">
          <reference field="4294967294" count="1" selected="0">
            <x v="0"/>
          </reference>
          <reference field="7" count="1" selected="0">
            <x v="1"/>
          </reference>
        </references>
      </pivotArea>
    </chartFormat>
    <chartFormat chart="31" format="4" series="1">
      <pivotArea type="data" outline="0" fieldPosition="0">
        <references count="2">
          <reference field="4294967294" count="1" selected="0">
            <x v="0"/>
          </reference>
          <reference field="7" count="1" selected="0">
            <x v="2"/>
          </reference>
        </references>
      </pivotArea>
    </chartFormat>
    <chartFormat chart="31" format="5" series="1">
      <pivotArea type="data" outline="0" fieldPosition="0">
        <references count="2">
          <reference field="4294967294" count="1" selected="0">
            <x v="0"/>
          </reference>
          <reference field="7" count="1" selected="0">
            <x v="3"/>
          </reference>
        </references>
      </pivotArea>
    </chartFormat>
    <chartFormat chart="31" format="6" series="1">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881984-2269-4345-875B-95C323990494}"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chartFormat="12">
  <location ref="CT5:CV10" firstHeaderRow="0" firstDataRow="1" firstDataCol="1"/>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axis="axisRow" compact="0" showAll="0" defaultSubtotal="0">
      <items count="5">
        <item x="2"/>
        <item x="0"/>
        <item x="3"/>
        <item x="1"/>
        <item x="4"/>
      </items>
    </pivotField>
    <pivotField compact="0" numFmtId="3" showAll="0" defaultSubtotal="0"/>
    <pivotField compact="0" numFmtId="3" showAll="0" defaultSubtotal="0"/>
    <pivotField compact="0" subtotalTop="0" showAll="0" defaultSubtotal="0"/>
    <pivotField dataField="1" compact="0" numFmtId="10" subtotalTop="0" showAll="0" defaultSubtotal="0"/>
    <pivotField dataField="1" compact="0" numFmtId="10" subtotalTop="0" showAll="0" defaultSubtotal="0"/>
  </pivotFields>
  <rowFields count="1">
    <field x="7"/>
  </rowFields>
  <rowItems count="5">
    <i>
      <x/>
    </i>
    <i>
      <x v="1"/>
    </i>
    <i>
      <x v="2"/>
    </i>
    <i>
      <x v="3"/>
    </i>
    <i>
      <x v="4"/>
    </i>
  </rowItems>
  <colFields count="1">
    <field x="-2"/>
  </colFields>
  <colItems count="2">
    <i>
      <x/>
    </i>
    <i i="1">
      <x v="1"/>
    </i>
  </colItems>
  <dataFields count="2">
    <dataField name="Sum of Sell Growth(2003-2004)" fld="11" baseField="0" baseItem="0" numFmtId="10"/>
    <dataField name="Sum of Sell Growth(2004-2005)" fld="12" baseField="0" baseItem="0" numFmtId="10"/>
  </dataFields>
  <chartFormats count="18">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pivotArea type="data" outline="0" fieldPosition="0">
        <references count="2">
          <reference field="4294967294" count="1" selected="0">
            <x v="1"/>
          </reference>
          <reference field="7" count="1" selected="0">
            <x v="2"/>
          </reference>
        </references>
      </pivotArea>
    </chartFormat>
    <chartFormat chart="3" format="7">
      <pivotArea type="data" outline="0" fieldPosition="0">
        <references count="2">
          <reference field="4294967294" count="1" selected="0">
            <x v="0"/>
          </reference>
          <reference field="7" count="1" selected="0">
            <x v="2"/>
          </reference>
        </references>
      </pivotArea>
    </chartFormat>
    <chartFormat chart="3" format="8">
      <pivotArea type="data" outline="0" fieldPosition="0">
        <references count="2">
          <reference field="4294967294" count="1" selected="0">
            <x v="1"/>
          </reference>
          <reference field="7" count="1" selected="0">
            <x v="4"/>
          </reference>
        </references>
      </pivotArea>
    </chartFormat>
    <chartFormat chart="3" format="9">
      <pivotArea type="data" outline="0" fieldPosition="0">
        <references count="2">
          <reference field="4294967294" count="1" selected="0">
            <x v="0"/>
          </reference>
          <reference field="7" count="1" selected="0">
            <x v="4"/>
          </reference>
        </references>
      </pivotArea>
    </chartFormat>
    <chartFormat chart="3" format="10">
      <pivotArea type="data" outline="0" fieldPosition="0">
        <references count="2">
          <reference field="4294967294" count="1" selected="0">
            <x v="0"/>
          </reference>
          <reference field="7" count="1" selected="0">
            <x v="1"/>
          </reference>
        </references>
      </pivotArea>
    </chartFormat>
    <chartFormat chart="3" format="11">
      <pivotArea type="data" outline="0" fieldPosition="0">
        <references count="2">
          <reference field="4294967294" count="1" selected="0">
            <x v="0"/>
          </reference>
          <reference field="7" count="1" selected="0">
            <x v="0"/>
          </reference>
        </references>
      </pivotArea>
    </chartFormat>
    <chartFormat chart="3" format="12">
      <pivotArea type="data" outline="0" fieldPosition="0">
        <references count="2">
          <reference field="4294967294" count="1" selected="0">
            <x v="0"/>
          </reference>
          <reference field="7" count="1" selected="0">
            <x v="3"/>
          </reference>
        </references>
      </pivotArea>
    </chartFormat>
    <chartFormat chart="3" format="13">
      <pivotArea type="data" outline="0" fieldPosition="0">
        <references count="2">
          <reference field="4294967294" count="1" selected="0">
            <x v="1"/>
          </reference>
          <reference field="7" count="1" selected="0">
            <x v="0"/>
          </reference>
        </references>
      </pivotArea>
    </chartFormat>
    <chartFormat chart="3" format="14">
      <pivotArea type="data" outline="0" fieldPosition="0">
        <references count="2">
          <reference field="4294967294" count="1" selected="0">
            <x v="1"/>
          </reference>
          <reference field="7" count="1" selected="0">
            <x v="1"/>
          </reference>
        </references>
      </pivotArea>
    </chartFormat>
    <chartFormat chart="3" format="15">
      <pivotArea type="data" outline="0" fieldPosition="0">
        <references count="2">
          <reference field="4294967294" count="1" selected="0">
            <x v="1"/>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8AACB1-24F3-488E-B90C-B6919573FCEF}"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3">
  <location ref="U3:V10" firstHeaderRow="1" firstDataRow="1" firstDataCol="1"/>
  <pivotFields count="13">
    <pivotField axis="axisRow" compact="0" showAll="0" sortType="descending" defaultSubtotal="0">
      <items count="7">
        <item x="0"/>
        <item x="1"/>
        <item x="2"/>
        <item x="3"/>
        <item x="4"/>
        <item x="5"/>
        <item x="6"/>
      </items>
      <autoSortScope>
        <pivotArea dataOnly="0" outline="0" fieldPosition="0">
          <references count="1">
            <reference field="4294967294" count="1" selected="0">
              <x v="0"/>
            </reference>
          </references>
        </pivotArea>
      </autoSortScope>
    </pivotField>
    <pivotField compact="0" numFmtId="3" showAll="0" defaultSubtotal="0"/>
    <pivotField compact="0" numFmtId="3" showAll="0" defaultSubtotal="0"/>
    <pivotField compact="0" numFmtId="3" showAll="0" defaultSubtotal="0"/>
    <pivotField dataField="1"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0"/>
  </rowFields>
  <rowItems count="7">
    <i>
      <x/>
    </i>
    <i>
      <x v="5"/>
    </i>
    <i>
      <x v="1"/>
    </i>
    <i>
      <x v="2"/>
    </i>
    <i>
      <x v="6"/>
    </i>
    <i>
      <x v="3"/>
    </i>
    <i>
      <x v="4"/>
    </i>
  </rowItems>
  <colItems count="1">
    <i/>
  </colItems>
  <dataFields count="1">
    <dataField name=" Total Amount" fld="4"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7ADD3A-9835-4ED4-BB1D-638A9D181C4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2">
  <location ref="J7:M14" firstHeaderRow="0" firstDataRow="1" firstDataCol="1"/>
  <pivotFields count="13">
    <pivotField axis="axisRow" compact="0" showAll="0" defaultSubtotal="0">
      <items count="7">
        <item x="0"/>
        <item x="1"/>
        <item x="2"/>
        <item x="3"/>
        <item x="4"/>
        <item x="5"/>
        <item x="6"/>
      </items>
    </pivotField>
    <pivotField dataField="1" compact="0" numFmtId="3" showAll="0" defaultSubtotal="0"/>
    <pivotField dataField="1" compact="0" numFmtId="3" showAll="0" defaultSubtotal="0"/>
    <pivotField dataField="1" compact="0" numFmtId="3" showAll="0" defaultSubtotal="0"/>
    <pivotField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0"/>
  </rowFields>
  <rowItems count="7">
    <i>
      <x/>
    </i>
    <i>
      <x v="1"/>
    </i>
    <i>
      <x v="2"/>
    </i>
    <i>
      <x v="3"/>
    </i>
    <i>
      <x v="4"/>
    </i>
    <i>
      <x v="5"/>
    </i>
    <i>
      <x v="6"/>
    </i>
  </rowItems>
  <colFields count="1">
    <field x="-2"/>
  </colFields>
  <colItems count="3">
    <i>
      <x/>
    </i>
    <i i="1">
      <x v="1"/>
    </i>
    <i i="2">
      <x v="2"/>
    </i>
  </colItems>
  <dataFields count="3">
    <dataField name=" 2003" fld="1" baseField="0" baseItem="0" numFmtId="3"/>
    <dataField name=" 2004" fld="2" baseField="0" baseItem="0" numFmtId="3"/>
    <dataField name=" 2005" fld="3"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F5D7F4-3689-40DD-867A-6A9D36F84E90}"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chartFormat="3">
  <location ref="X3:X4" firstHeaderRow="1" firstDataRow="1" firstDataCol="1"/>
  <pivotFields count="13">
    <pivotField axis="axisRow" compact="0" showAll="0" defaultSubtotal="0">
      <items count="7">
        <item x="0"/>
        <item h="1" x="1"/>
        <item h="1" x="2"/>
        <item h="1" x="3"/>
        <item h="1" x="4"/>
        <item h="1" x="5"/>
        <item h="1" x="6"/>
      </items>
    </pivotField>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B04C07D-3E4C-4A2F-A569-7CD3AB112652}" name="PivotTable7"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chartFormat="13">
  <location ref="F4:I5" firstHeaderRow="0" firstDataRow="1" firstDataCol="1"/>
  <pivotFields count="13">
    <pivotField axis="axisRow" compact="0" showAll="0" defaultSubtotal="0">
      <items count="7">
        <item x="0"/>
        <item h="1" x="1"/>
        <item h="1" x="2"/>
        <item h="1" x="3"/>
        <item h="1" x="4"/>
        <item h="1" x="5"/>
        <item h="1" x="6"/>
      </items>
    </pivotField>
    <pivotField dataField="1" compact="0" numFmtId="3" showAll="0" defaultSubtotal="0"/>
    <pivotField dataField="1" compact="0" numFmtId="3" showAll="0" defaultSubtotal="0"/>
    <pivotField dataField="1" compact="0" numFmtId="3" showAll="0" defaultSubtotal="0"/>
    <pivotField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0"/>
  </rowFields>
  <rowItems count="1">
    <i>
      <x/>
    </i>
  </rowItems>
  <colFields count="1">
    <field x="-2"/>
  </colFields>
  <colItems count="3">
    <i>
      <x/>
    </i>
    <i i="1">
      <x v="1"/>
    </i>
    <i i="2">
      <x v="2"/>
    </i>
  </colItems>
  <dataFields count="3">
    <dataField name=" 2003" fld="1" baseField="0" baseItem="0" numFmtId="3"/>
    <dataField name=" 2004" fld="2" baseField="0" baseItem="0" numFmtId="3"/>
    <dataField name=" 2005" fld="3" baseField="0" baseItem="0" numFmtId="3"/>
  </dataFields>
  <chartFormats count="6">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3" format="9">
      <pivotArea type="data" outline="0" fieldPosition="0">
        <references count="1">
          <reference field="4294967294" count="1" selected="0">
            <x v="2"/>
          </reference>
        </references>
      </pivotArea>
    </chartFormat>
    <chartFormat chart="3" format="10">
      <pivotArea type="data" outline="0" fieldPosition="0">
        <references count="1">
          <reference field="4294967294" count="1" selected="0">
            <x v="0"/>
          </reference>
        </references>
      </pivotArea>
    </chartFormat>
    <chartFormat chart="3" format="1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904B4E1-B0DC-4C67-8431-712F27A3F9F1}"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3">
  <location ref="AH3:AI5" firstHeaderRow="1" firstDataRow="1" firstDataCol="1"/>
  <pivotFields count="13">
    <pivotField compact="0" showAll="0" defaultSubtotal="0"/>
    <pivotField compact="0" numFmtId="3" showAll="0" defaultSubtotal="0"/>
    <pivotField compact="0" numFmtId="3" showAll="0" defaultSubtotal="0"/>
    <pivotField compact="0" numFmtId="3" showAll="0" defaultSubtotal="0"/>
    <pivotField dataField="1"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axis="axisRow" compact="0" subtotalTop="0" showAll="0" sortType="descending" defaultSubtotal="0">
      <items count="3">
        <item h="1" x="2"/>
        <item x="0"/>
        <item x="1"/>
      </items>
      <autoSortScope>
        <pivotArea dataOnly="0" outline="0" fieldPosition="0">
          <references count="1">
            <reference field="4294967294" count="1" selected="0">
              <x v="0"/>
            </reference>
          </references>
        </pivotArea>
      </autoSortScope>
    </pivotField>
    <pivotField compact="0" numFmtId="10" subtotalTop="0" showAll="0" defaultSubtotal="0"/>
    <pivotField compact="0" numFmtId="10" subtotalTop="0" showAll="0" defaultSubtotal="0"/>
  </pivotFields>
  <rowFields count="1">
    <field x="10"/>
  </rowFields>
  <rowItems count="2">
    <i>
      <x v="1"/>
    </i>
    <i>
      <x v="2"/>
    </i>
  </rowItems>
  <colItems count="1">
    <i/>
  </colItems>
  <dataFields count="1">
    <dataField name=" Total Amount" fld="4"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6163426-3FB4-4DB2-8A1A-56C265706D3B}"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9">
  <location ref="AX4:AZ9" firstHeaderRow="0" firstDataRow="1" firstDataCol="1"/>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dataField="1" compact="0" numFmtId="10" subtotalTop="0" showAll="0" defaultSubtotal="0"/>
    <pivotField compact="0" showAll="0" defaultSubtotal="0"/>
    <pivotField axis="axisRow" compact="0" showAll="0" defaultSubtotal="0">
      <items count="5">
        <item x="2"/>
        <item x="0"/>
        <item x="3"/>
        <item x="1"/>
        <item x="4"/>
      </items>
    </pivotField>
    <pivotField compact="0" numFmtId="3" showAll="0" defaultSubtotal="0"/>
    <pivotField dataField="1"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7"/>
  </rowFields>
  <rowItems count="5">
    <i>
      <x/>
    </i>
    <i>
      <x v="1"/>
    </i>
    <i>
      <x v="2"/>
    </i>
    <i>
      <x v="3"/>
    </i>
    <i>
      <x v="4"/>
    </i>
  </rowItems>
  <colFields count="1">
    <field x="-2"/>
  </colFields>
  <colItems count="2">
    <i>
      <x/>
    </i>
    <i i="1">
      <x v="1"/>
    </i>
  </colItems>
  <dataFields count="2">
    <dataField name="Sum of Growth % (2003-2005)" fld="5" baseField="0" baseItem="0" numFmtId="10"/>
    <dataField name="Sum of Company Revenue" fld="9"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D8A71BA-56BE-403E-BF3D-2B91C89D570C}"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location ref="BM5:BO22" firstHeaderRow="1" firstDataRow="1" firstDataCol="0"/>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FC1281-CF81-4DAC-BFC4-D659C13E1AA5}" name="PivotTable15"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location ref="BS7:BS12" firstHeaderRow="1" firstDataRow="1" firstDataCol="1"/>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axis="axisRow" compact="0" showAll="0" defaultSubtotal="0">
      <items count="5">
        <item x="2"/>
        <item x="0"/>
        <item x="3"/>
        <item x="1"/>
        <item x="4"/>
      </items>
    </pivotField>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7"/>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DF7B98C-8480-425A-9AB4-608DC3C7681E}"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location ref="A3:D10" firstHeaderRow="0" firstDataRow="1" firstDataCol="1"/>
  <pivotFields count="13">
    <pivotField axis="axisRow" compact="0" showAll="0" defaultSubtotal="0">
      <items count="7">
        <item x="0"/>
        <item x="1"/>
        <item x="2"/>
        <item x="3"/>
        <item x="4"/>
        <item x="5"/>
        <item x="6"/>
      </items>
    </pivotField>
    <pivotField dataField="1" compact="0" numFmtId="3" showAll="0" defaultSubtotal="0"/>
    <pivotField dataField="1" compact="0" numFmtId="3" showAll="0" defaultSubtotal="0"/>
    <pivotField dataField="1" compact="0" numFmtId="3" showAll="0" defaultSubtotal="0"/>
    <pivotField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0"/>
  </rowFields>
  <rowItems count="7">
    <i>
      <x/>
    </i>
    <i>
      <x v="1"/>
    </i>
    <i>
      <x v="2"/>
    </i>
    <i>
      <x v="3"/>
    </i>
    <i>
      <x v="4"/>
    </i>
    <i>
      <x v="5"/>
    </i>
    <i>
      <x v="6"/>
    </i>
  </rowItems>
  <colFields count="1">
    <field x="-2"/>
  </colFields>
  <colItems count="3">
    <i>
      <x/>
    </i>
    <i i="1">
      <x v="1"/>
    </i>
    <i i="2">
      <x v="2"/>
    </i>
  </colItems>
  <dataFields count="3">
    <dataField name=" 2003" fld="1" baseField="0" baseItem="0" numFmtId="3"/>
    <dataField name=" 2004" fld="2" baseField="0" baseItem="0" numFmtId="3"/>
    <dataField name=" 2005" fld="3"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B2FDA6B-5E1D-4D67-9461-CDC17750D113}" name="PivotTable23"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chartFormat="7">
  <location ref="CI5:CI10" firstHeaderRow="1" firstDataRow="1" firstDataCol="1"/>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axis="axisRow" compact="0" showAll="0" defaultSubtotal="0">
      <items count="5">
        <item x="2"/>
        <item x="0"/>
        <item x="3"/>
        <item x="1"/>
        <item x="4"/>
      </items>
    </pivotField>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7"/>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91A2BDB-5551-4190-9A6C-D297E01CCB79}" name="PivotTable2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11">
  <location ref="AR3:AR4" firstHeaderRow="1" firstDataRow="1" firstDataCol="1"/>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axis="axisRow" compact="0" showAll="0" defaultSubtotal="0">
      <items count="5">
        <item h="1" x="2"/>
        <item h="1" x="0"/>
        <item h="1" x="3"/>
        <item h="1" x="1"/>
        <item x="4"/>
      </items>
    </pivotField>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7"/>
  </rowFields>
  <rowItems count="1">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B02BD48-6608-4A0A-A545-69502D0479A2}" name="PivotTable9"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chartFormat="3">
  <location ref="AE3:AE6" firstHeaderRow="1" firstDataRow="1" firstDataCol="1"/>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compact="0" showAll="0" defaultSubtotal="0"/>
    <pivotField compact="0" numFmtId="3" showAll="0" defaultSubtotal="0"/>
    <pivotField compact="0" numFmtId="3" showAll="0" defaultSubtotal="0"/>
    <pivotField axis="axisRow" compact="0" subtotalTop="0" showAll="0" defaultSubtotal="0">
      <items count="3">
        <item x="2"/>
        <item x="0"/>
        <item x="1"/>
      </items>
    </pivotField>
    <pivotField compact="0" numFmtId="10" subtotalTop="0" showAll="0" defaultSubtotal="0"/>
    <pivotField compact="0" numFmtId="10" subtotalTop="0" showAll="0" defaultSubtotal="0"/>
  </pivotFields>
  <rowFields count="1">
    <field x="10"/>
  </rowFields>
  <rowItems count="3">
    <i>
      <x/>
    </i>
    <i>
      <x v="1"/>
    </i>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02A0AD9-DCDA-4572-B0E1-6E351F615EE2}"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8" indent="0" compact="0" outline="1" outlineData="1" compactData="0" multipleFieldFilters="0" chartFormat="47">
  <location ref="BJ5:BK5" firstHeaderRow="1" firstDataRow="1" firstDataCol="1"/>
  <pivotFields count="13">
    <pivotField compact="0" showAll="0" defaultSubtotal="0">
      <items count="7">
        <item x="0"/>
        <item h="1" x="1"/>
        <item h="1" x="2"/>
        <item h="1" x="3"/>
        <item h="1" x="4"/>
        <item h="1" x="5"/>
        <item h="1" x="6"/>
      </items>
    </pivotField>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axis="axisRow" compact="0" showAll="0" defaultSubtotal="0">
      <items count="5">
        <item h="1" x="2"/>
        <item h="1" x="0"/>
        <item h="1" x="3"/>
        <item h="1" x="1"/>
        <item x="4"/>
      </items>
    </pivotField>
    <pivotField compact="0" numFmtId="3" showAll="0" defaultSubtotal="0"/>
    <pivotField dataField="1"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7"/>
  </rowFields>
  <colItems count="1">
    <i/>
  </colItems>
  <dataFields count="1">
    <dataField name="Sum of Company Revenue" fld="9"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15E8B89-272A-4E01-A51E-FA3175143A11}" name="PivotTable2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chartFormat="3">
  <location ref="AO3:AO4" firstHeaderRow="1" firstDataRow="1" firstDataCol="1"/>
  <pivotFields count="13">
    <pivotField compact="0" showAll="0" defaultSubtotal="0"/>
    <pivotField compact="0" numFmtId="3" showAll="0" defaultSubtotal="0"/>
    <pivotField compact="0" numFmtId="3" showAll="0" defaultSubtotal="0"/>
    <pivotField compact="0" numFmtId="3" showAll="0" defaultSubtotal="0"/>
    <pivotField compact="0" numFmtId="3" showAll="0" defaultSubtotal="0"/>
    <pivotField compact="0" numFmtId="10" subtotalTop="0" showAll="0" defaultSubtotal="0"/>
    <pivotField compact="0" showAll="0" defaultSubtotal="0"/>
    <pivotField axis="axisRow" compact="0" showAll="0" defaultSubtotal="0">
      <items count="5">
        <item h="1" x="2"/>
        <item h="1" x="0"/>
        <item h="1" x="3"/>
        <item h="1" x="1"/>
        <item x="4"/>
      </items>
    </pivotField>
    <pivotField compact="0" numFmtId="3" showAll="0" defaultSubtotal="0"/>
    <pivotField compact="0" numFmtId="3" showAll="0" defaultSubtotal="0"/>
    <pivotField compact="0" subtotalTop="0" showAll="0" defaultSubtotal="0"/>
    <pivotField compact="0" numFmtId="10" subtotalTop="0" showAll="0" defaultSubtotal="0"/>
    <pivotField compact="0" numFmtId="10" subtotalTop="0" showAll="0" defaultSubtotal="0"/>
  </pivotFields>
  <rowFields count="1">
    <field x="7"/>
  </rowFields>
  <rowItems count="1">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1" xr10:uid="{7280A900-9C76-415A-BE68-9D6633238ECE}" sourceName="Products">
  <pivotTables>
    <pivotTable tabId="5" name="PivotTable2"/>
    <pivotTable tabId="5" name="PivotTable7"/>
    <pivotTable tabId="5" name="PivotTable5"/>
    <pivotTable tabId="5" name="PivotTable6"/>
  </pivotTables>
  <data>
    <tabular pivotCacheId="570645269">
      <items count="7">
        <i x="0" s="1"/>
        <i x="1"/>
        <i x="2"/>
        <i x="3"/>
        <i x="4"/>
        <i x="5"/>
        <i x="6"/>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resentitive" xr10:uid="{AC3CE08A-3613-4516-B83C-4F3D38FE966A}" sourceName="Sales Representitive">
  <pivotTables>
    <pivotTable tabId="5" name="PivotTable9"/>
  </pivotTables>
  <data>
    <tabular pivotCacheId="570645269">
      <items count="3">
        <i x="2" s="1"/>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2" xr10:uid="{2A9B1A4E-7ACD-43A2-A96F-FA38524FE127}" sourceName="Company">
  <pivotTables>
    <pivotTable tabId="5" name="PivotTable12"/>
    <pivotTable tabId="5" name="PivotTable23"/>
    <pivotTable tabId="5" name="PivotTable15"/>
  </pivotTables>
  <data>
    <tabular pivotCacheId="570645269">
      <items count="5">
        <i x="2" s="1"/>
        <i x="0" s="1"/>
        <i x="3"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3" xr10:uid="{D552D1EF-55F0-4A36-A62F-A3DBD766AB76}" cache="Slicer_Company2" caption="Company" rowHeight="241300"/>
  <slicer name="Company" xr10:uid="{5944749C-6E6E-435B-91A5-AD9C504C38CC}" cache="Slicer_Company2" caption="Compan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 1" xr10:uid="{A28C0A8D-8C27-46EC-8148-151DBBD17CF8}" cache="Slicer_Products1" caption="Products" columnCount="7" showCaption="0" rowHeight="241300"/>
  <slicer name="Sales Representitive" xr10:uid="{012E9343-C008-498D-B253-B3A6D3BF5E21}" cache="Slicer_Sales_Representitive" caption="Sales Representitive" showCaption="0" rowHeight="241300"/>
  <slicer name="Company 1" xr10:uid="{33CCDE0A-939C-4BB4-B70C-3433BFB4DC63}" cache="Slicer_Company2" caption="Company" columnCount="2" showCaption="0"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D9523D3-C415-4899-B04E-10B58F10DF06}" name="Table2" displayName="Table2" ref="A1:M8" totalsRowShown="0" headerRowDxfId="12">
  <autoFilter ref="A1:M8" xr:uid="{6D9523D3-C415-4899-B04E-10B58F10DF06}"/>
  <tableColumns count="13">
    <tableColumn id="1" xr3:uid="{C2FA292B-E0B3-412E-8C31-B12CEB6C1991}" name="Products"/>
    <tableColumn id="2" xr3:uid="{1288A3D0-A88D-42E4-BDDC-31A8C4D7EF85}" name="2003" dataDxfId="11"/>
    <tableColumn id="3" xr3:uid="{A0C7EA1F-2A71-4D75-85C6-B8C534921C30}" name="2004" dataDxfId="10"/>
    <tableColumn id="4" xr3:uid="{4457F211-34F0-40AF-84B4-A83705D146F3}" name="2005" dataDxfId="9"/>
    <tableColumn id="5" xr3:uid="{D423DD29-77EC-47D1-B4C6-1BB08284761F}" name="Total Amount" dataDxfId="8"/>
    <tableColumn id="6" xr3:uid="{700E1F7E-C9DF-4A5E-833D-449205CB5064}" name="Growth % (2003-2005)" dataDxfId="7">
      <calculatedColumnFormula>(D2-B2)/B2</calculatedColumnFormula>
    </tableColumn>
    <tableColumn id="8" xr3:uid="{02AFE331-A857-4ADC-9F56-90D5F5532408}" name="Product Code" dataDxfId="6"/>
    <tableColumn id="9" xr3:uid="{55037A6F-7A96-48CA-A093-F80850B14F05}" name="Company" dataDxfId="5">
      <calculatedColumnFormula>_xlfn.XLOOKUP(Table2[[#This Row],[Product Code]],Product_code,Company)</calculatedColumnFormula>
    </tableColumn>
    <tableColumn id="10" xr3:uid="{E2F1DC30-1612-43C6-BFC5-DC4FE461DD78}" name="Company Rank" dataDxfId="4">
      <calculatedColumnFormula>_xlfn.XLOOKUP(Table2[[#This Row],[Product Code]],Product_code,Rank)</calculatedColumnFormula>
    </tableColumn>
    <tableColumn id="11" xr3:uid="{71DA37C5-ABE4-4408-8426-ED9E7036A078}" name="Company Revenue" dataDxfId="3">
      <calculatedColumnFormula>_xlfn.XLOOKUP(Table2[[#This Row],[Product Code]],Product_code,Revenue)</calculatedColumnFormula>
    </tableColumn>
    <tableColumn id="12" xr3:uid="{7D5B1235-BF1E-490E-8A33-42514C62FD08}" name="Sales Representitive" dataDxfId="2"/>
    <tableColumn id="7" xr3:uid="{89127559-B1D7-4BCE-A7DD-A7B7285532CE}" name="Sell Growth(2003-2004)" dataDxfId="1">
      <calculatedColumnFormula>(C2-B2)/B2</calculatedColumnFormula>
    </tableColumn>
    <tableColumn id="13" xr3:uid="{1B00C871-C843-475F-A421-59A1316E067D}" name="Sell Growth(2004-2005)" dataDxfId="0">
      <calculatedColumnFormula>(D2-C2)/C2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ln w="9525" cmpd="sng">
          <a:noFill/>
        </a:ln>
      </a:spPr>
      <a:bodyPr vertOverflow="clip" horzOverflow="clip" wrap="square" rtlCol="0" anchor="t"/>
      <a:lstStyle>
        <a:defPPr marL="0" indent="0" algn="l">
          <a:defRPr sz="1100" b="1" i="0" u="none" strike="noStrike">
            <a:solidFill>
              <a:schemeClr val="accent1">
                <a:lumMod val="75000"/>
              </a:schemeClr>
            </a:solidFill>
            <a:latin typeface="Arial" panose="020B0604020202020204" pitchFamily="34" charset="0"/>
            <a:ea typeface="+mn-ea"/>
            <a:cs typeface="Arial" panose="020B0604020202020204" pitchFamily="34" charset="0"/>
          </a:defRPr>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6" Type="http://schemas.microsoft.com/office/2007/relationships/slicer" Target="../slicers/slicer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802A5-87DF-4025-B42C-DF564494B189}">
  <sheetPr codeName="Sheet1"/>
  <dimension ref="A1:CX22"/>
  <sheetViews>
    <sheetView topLeftCell="CP1" zoomScaleNormal="100" workbookViewId="0">
      <selection activeCell="CT5" sqref="CT5"/>
    </sheetView>
  </sheetViews>
  <sheetFormatPr defaultRowHeight="14.5" x14ac:dyDescent="0.35"/>
  <cols>
    <col min="1" max="1" width="16" bestFit="1" customWidth="1"/>
    <col min="2" max="4" width="5.54296875" bestFit="1" customWidth="1"/>
    <col min="6" max="6" width="10.81640625" bestFit="1" customWidth="1"/>
    <col min="7" max="9" width="5.26953125" bestFit="1" customWidth="1"/>
    <col min="10" max="10" width="16" bestFit="1" customWidth="1"/>
    <col min="11" max="13" width="5.54296875" bestFit="1" customWidth="1"/>
    <col min="19" max="20" width="6.54296875" bestFit="1" customWidth="1"/>
    <col min="21" max="21" width="16" bestFit="1" customWidth="1"/>
    <col min="22" max="22" width="13.54296875" bestFit="1" customWidth="1"/>
    <col min="23" max="23" width="5.54296875" bestFit="1" customWidth="1"/>
    <col min="24" max="24" width="10.81640625" bestFit="1" customWidth="1"/>
    <col min="25" max="25" width="24.54296875" bestFit="1" customWidth="1"/>
    <col min="26" max="26" width="21.1796875" customWidth="1"/>
    <col min="27" max="27" width="11.1796875" customWidth="1"/>
    <col min="28" max="28" width="18" customWidth="1"/>
    <col min="29" max="29" width="10.54296875" bestFit="1" customWidth="1"/>
    <col min="31" max="31" width="20" bestFit="1" customWidth="1"/>
    <col min="32" max="33" width="13.54296875" bestFit="1" customWidth="1"/>
    <col min="34" max="34" width="21.7265625" bestFit="1" customWidth="1"/>
    <col min="35" max="35" width="13.54296875" bestFit="1" customWidth="1"/>
    <col min="37" max="37" width="19.7265625" customWidth="1"/>
    <col min="39" max="39" width="10.54296875" bestFit="1" customWidth="1"/>
    <col min="41" max="41" width="18.54296875" bestFit="1" customWidth="1"/>
    <col min="42" max="42" width="27.453125" bestFit="1" customWidth="1"/>
    <col min="43" max="43" width="24.54296875" bestFit="1" customWidth="1"/>
    <col min="44" max="44" width="18.54296875" bestFit="1" customWidth="1"/>
    <col min="45" max="45" width="27.453125" bestFit="1" customWidth="1"/>
    <col min="47" max="47" width="11.81640625" customWidth="1"/>
    <col min="48" max="48" width="14.1796875" customWidth="1"/>
    <col min="49" max="49" width="14.453125" customWidth="1"/>
    <col min="50" max="50" width="24.54296875" bestFit="1" customWidth="1"/>
    <col min="51" max="51" width="27.453125" bestFit="1" customWidth="1"/>
    <col min="52" max="52" width="24.54296875" bestFit="1" customWidth="1"/>
    <col min="57" max="57" width="20.36328125" bestFit="1" customWidth="1"/>
    <col min="58" max="58" width="22.90625" bestFit="1" customWidth="1"/>
    <col min="59" max="59" width="21.81640625" bestFit="1" customWidth="1"/>
    <col min="60" max="60" width="15.81640625" bestFit="1" customWidth="1"/>
    <col min="61" max="61" width="24.81640625" bestFit="1" customWidth="1"/>
    <col min="62" max="62" width="11" bestFit="1" customWidth="1"/>
    <col min="63" max="63" width="22.90625" bestFit="1" customWidth="1"/>
    <col min="65" max="67" width="24.54296875" bestFit="1" customWidth="1"/>
    <col min="71" max="71" width="22.90625" bestFit="1" customWidth="1"/>
    <col min="72" max="72" width="24.54296875" bestFit="1" customWidth="1"/>
    <col min="73" max="73" width="5.54296875" bestFit="1" customWidth="1"/>
    <col min="83" max="83" width="10.1796875" bestFit="1" customWidth="1"/>
    <col min="84" max="84" width="12.7265625" bestFit="1" customWidth="1"/>
    <col min="87" max="87" width="22.90625" bestFit="1" customWidth="1"/>
    <col min="88" max="91" width="27.453125" bestFit="1" customWidth="1"/>
    <col min="93" max="93" width="29.54296875" customWidth="1"/>
    <col min="98" max="98" width="22.90625" bestFit="1" customWidth="1"/>
    <col min="99" max="100" width="27" bestFit="1" customWidth="1"/>
    <col min="101" max="101" width="28.7265625" bestFit="1" customWidth="1"/>
  </cols>
  <sheetData>
    <row r="1" spans="1:102" x14ac:dyDescent="0.35">
      <c r="AQ1" s="13">
        <v>3</v>
      </c>
    </row>
    <row r="2" spans="1:102" x14ac:dyDescent="0.35">
      <c r="AU2" s="16">
        <v>1</v>
      </c>
      <c r="AW2" s="13">
        <v>2</v>
      </c>
      <c r="AY2" s="13">
        <v>3</v>
      </c>
      <c r="BA2" s="13">
        <v>4</v>
      </c>
      <c r="BC2">
        <v>5</v>
      </c>
    </row>
    <row r="3" spans="1:102" x14ac:dyDescent="0.35">
      <c r="A3" s="11" t="s">
        <v>0</v>
      </c>
      <c r="B3" t="s">
        <v>31</v>
      </c>
      <c r="C3" t="s">
        <v>32</v>
      </c>
      <c r="D3" t="s">
        <v>33</v>
      </c>
      <c r="N3" s="12" t="s">
        <v>0</v>
      </c>
      <c r="O3" s="12" t="s">
        <v>31</v>
      </c>
      <c r="P3" s="12" t="s">
        <v>32</v>
      </c>
      <c r="Q3" s="12" t="s">
        <v>33</v>
      </c>
      <c r="U3" s="11" t="s">
        <v>0</v>
      </c>
      <c r="V3" t="s">
        <v>38</v>
      </c>
      <c r="X3" s="11" t="s">
        <v>0</v>
      </c>
      <c r="Y3" t="s">
        <v>40</v>
      </c>
      <c r="AA3" s="12" t="s">
        <v>0</v>
      </c>
      <c r="AB3" s="12" t="s">
        <v>38</v>
      </c>
      <c r="AC3" s="13" t="s">
        <v>39</v>
      </c>
      <c r="AE3" s="11" t="s">
        <v>37</v>
      </c>
      <c r="AF3" t="s">
        <v>41</v>
      </c>
      <c r="AH3" s="11" t="s">
        <v>37</v>
      </c>
      <c r="AI3" t="s">
        <v>38</v>
      </c>
      <c r="AK3" s="12" t="s">
        <v>37</v>
      </c>
      <c r="AL3" s="12" t="s">
        <v>38</v>
      </c>
      <c r="AM3" t="s">
        <v>39</v>
      </c>
      <c r="AO3" s="11" t="s">
        <v>9</v>
      </c>
      <c r="AR3" s="11" t="s">
        <v>9</v>
      </c>
      <c r="AU3" t="str">
        <f>IF(Chooseoption=2,"Total Sell Growth % :",IF(Chooseoption=3,"Company Rank: ","Total Revenue $ : "))</f>
        <v xml:space="preserve">Company Rank: </v>
      </c>
    </row>
    <row r="4" spans="1:102" x14ac:dyDescent="0.35">
      <c r="A4" t="s">
        <v>1</v>
      </c>
      <c r="B4" s="6">
        <v>4056.7904100000001</v>
      </c>
      <c r="C4" s="6">
        <v>3987.0069910000002</v>
      </c>
      <c r="D4" s="6">
        <v>4230.0206289999996</v>
      </c>
      <c r="F4" s="11" t="s">
        <v>0</v>
      </c>
      <c r="G4" t="s">
        <v>31</v>
      </c>
      <c r="H4" t="s">
        <v>32</v>
      </c>
      <c r="I4" t="s">
        <v>33</v>
      </c>
      <c r="N4" t="s">
        <v>1</v>
      </c>
      <c r="O4" s="6">
        <v>4056.7904100000001</v>
      </c>
      <c r="P4" s="6">
        <v>3987.0069910000002</v>
      </c>
      <c r="Q4" s="6">
        <v>4230.0206289999996</v>
      </c>
      <c r="U4" t="s">
        <v>1</v>
      </c>
      <c r="V4" s="6">
        <v>12273.818029999999</v>
      </c>
      <c r="X4" t="s">
        <v>1</v>
      </c>
      <c r="Y4" t="str">
        <f>IF(COUNTA(X4:X10)&gt;1,"",X4)</f>
        <v xml:space="preserve">Classic Cars </v>
      </c>
      <c r="AA4" t="s">
        <v>1</v>
      </c>
      <c r="AB4" s="6">
        <v>12273.818029999999</v>
      </c>
      <c r="AC4">
        <f t="shared" ref="AC4:AC10" si="0">IF(AA4=$Y$4,AB4,"")</f>
        <v>12273.818029999999</v>
      </c>
      <c r="AE4" t="s">
        <v>36</v>
      </c>
      <c r="AF4" t="str">
        <f>IF(COUNTA(AE4:AE6)&gt;1,"",AE4)</f>
        <v/>
      </c>
      <c r="AH4" t="s">
        <v>34</v>
      </c>
      <c r="AI4" s="6">
        <v>43824.166195999998</v>
      </c>
      <c r="AK4" t="s">
        <v>34</v>
      </c>
      <c r="AL4" s="6">
        <v>43824.166196000006</v>
      </c>
      <c r="AM4" s="15" t="str">
        <f>IF(AK4=$AF$4,AL4,"")</f>
        <v/>
      </c>
      <c r="AO4" t="s">
        <v>15</v>
      </c>
      <c r="AR4" t="s">
        <v>15</v>
      </c>
      <c r="AU4" s="14"/>
      <c r="AX4" s="11" t="s">
        <v>9</v>
      </c>
      <c r="AY4" t="s">
        <v>44</v>
      </c>
      <c r="AZ4" t="s">
        <v>42</v>
      </c>
      <c r="BA4" s="5" t="s">
        <v>8</v>
      </c>
      <c r="CS4" s="29"/>
      <c r="CT4" s="30" t="s">
        <v>47</v>
      </c>
      <c r="CU4" s="30"/>
      <c r="CV4" s="29"/>
      <c r="CW4" s="29"/>
      <c r="CX4" s="29"/>
    </row>
    <row r="5" spans="1:102" x14ac:dyDescent="0.35">
      <c r="A5" t="s">
        <v>2</v>
      </c>
      <c r="B5" s="6">
        <v>3402.7117429999998</v>
      </c>
      <c r="C5" s="6">
        <v>3417.9587200000001</v>
      </c>
      <c r="D5" s="6">
        <v>4050.8194830000002</v>
      </c>
      <c r="F5" t="s">
        <v>1</v>
      </c>
      <c r="G5" s="6">
        <v>4056.7904100000001</v>
      </c>
      <c r="H5" s="6">
        <v>3987.0069910000002</v>
      </c>
      <c r="I5" s="6">
        <v>4230.0206289999996</v>
      </c>
      <c r="N5" t="s">
        <v>2</v>
      </c>
      <c r="O5" s="6">
        <v>3402.7117429999998</v>
      </c>
      <c r="P5" s="6">
        <v>3417.9587200000001</v>
      </c>
      <c r="Q5" s="6">
        <v>4050.8194830000002</v>
      </c>
      <c r="U5" t="s">
        <v>6</v>
      </c>
      <c r="V5" s="6">
        <v>11183.392148999999</v>
      </c>
      <c r="AA5" t="s">
        <v>6</v>
      </c>
      <c r="AB5" s="6">
        <v>11183.392148999999</v>
      </c>
      <c r="AC5" s="15" t="str">
        <f t="shared" si="0"/>
        <v/>
      </c>
      <c r="AE5" t="s">
        <v>34</v>
      </c>
      <c r="AH5" t="s">
        <v>35</v>
      </c>
      <c r="AI5" s="6">
        <v>18485.604377</v>
      </c>
      <c r="AK5" t="s">
        <v>35</v>
      </c>
      <c r="AL5" s="6">
        <v>18485.604377</v>
      </c>
      <c r="AM5" s="15" t="str">
        <f t="shared" ref="AM5:AM6" si="1">IF(AK5=$AF$4,AL5,"")</f>
        <v/>
      </c>
      <c r="AX5" t="s">
        <v>13</v>
      </c>
      <c r="AY5" s="10">
        <v>0.18321053728576825</v>
      </c>
      <c r="AZ5" s="6">
        <v>164575.87</v>
      </c>
      <c r="BA5" s="3">
        <v>1</v>
      </c>
      <c r="BE5" s="11" t="s">
        <v>9</v>
      </c>
      <c r="BF5" t="s">
        <v>42</v>
      </c>
      <c r="BI5" t="s">
        <v>34</v>
      </c>
      <c r="BJ5" s="11" t="s">
        <v>9</v>
      </c>
      <c r="BK5" t="s">
        <v>42</v>
      </c>
      <c r="BM5" s="18"/>
      <c r="BN5" s="19"/>
      <c r="BO5" s="20"/>
      <c r="CD5" s="27" t="s">
        <v>9</v>
      </c>
      <c r="CE5" s="27" t="s">
        <v>10</v>
      </c>
      <c r="CF5" t="s">
        <v>39</v>
      </c>
      <c r="CI5" s="11" t="s">
        <v>9</v>
      </c>
      <c r="CO5" s="12" t="s">
        <v>9</v>
      </c>
      <c r="CT5" s="11" t="s">
        <v>9</v>
      </c>
      <c r="CU5" t="s">
        <v>48</v>
      </c>
      <c r="CV5" t="s">
        <v>49</v>
      </c>
    </row>
    <row r="6" spans="1:102" x14ac:dyDescent="0.35">
      <c r="A6" t="s">
        <v>3</v>
      </c>
      <c r="B6" s="6">
        <v>3203.0305880000001</v>
      </c>
      <c r="C6" s="6">
        <v>3122.1850930000001</v>
      </c>
      <c r="D6" s="6">
        <v>3334.5695000000001</v>
      </c>
      <c r="N6" t="s">
        <v>3</v>
      </c>
      <c r="O6" s="6">
        <v>3203.0305880000001</v>
      </c>
      <c r="P6" s="6">
        <v>3122.1850930000001</v>
      </c>
      <c r="Q6" s="6">
        <v>3334.5695000000001</v>
      </c>
      <c r="U6" t="s">
        <v>2</v>
      </c>
      <c r="V6" s="6">
        <v>10871.489946000002</v>
      </c>
      <c r="AA6" t="s">
        <v>2</v>
      </c>
      <c r="AB6" s="6">
        <v>10871.489946000002</v>
      </c>
      <c r="AC6" t="str">
        <f t="shared" si="0"/>
        <v/>
      </c>
      <c r="AE6" t="s">
        <v>35</v>
      </c>
      <c r="AK6" t="s">
        <v>36</v>
      </c>
      <c r="AL6" s="6">
        <v>9364.6155240000007</v>
      </c>
      <c r="AM6" s="15" t="str">
        <f t="shared" si="1"/>
        <v/>
      </c>
      <c r="AX6" t="s">
        <v>11</v>
      </c>
      <c r="AY6" s="10">
        <v>0.23316931036227442</v>
      </c>
      <c r="AZ6" s="6">
        <v>1532390.1</v>
      </c>
      <c r="BA6" s="4">
        <v>2</v>
      </c>
      <c r="BE6" t="s">
        <v>11</v>
      </c>
      <c r="BF6" s="6">
        <v>766195.05</v>
      </c>
      <c r="BI6" t="s">
        <v>35</v>
      </c>
      <c r="BM6" s="21"/>
      <c r="BN6" s="22"/>
      <c r="BO6" s="23"/>
      <c r="CD6" t="s">
        <v>11</v>
      </c>
      <c r="CE6" s="28">
        <v>1532390.1</v>
      </c>
      <c r="CF6" s="28" t="str">
        <f>IF(CD6=$BT$8,CE6,"")</f>
        <v/>
      </c>
      <c r="CI6" t="s">
        <v>13</v>
      </c>
      <c r="CO6" t="s">
        <v>13</v>
      </c>
      <c r="CT6" t="s">
        <v>13</v>
      </c>
      <c r="CU6" s="10">
        <v>0.21122853133205244</v>
      </c>
      <c r="CV6" s="10">
        <v>-2.3131880831333548E-2</v>
      </c>
    </row>
    <row r="7" spans="1:102" x14ac:dyDescent="0.35">
      <c r="A7" t="s">
        <v>4</v>
      </c>
      <c r="B7" s="6">
        <v>3022.4825930000002</v>
      </c>
      <c r="C7" s="6">
        <v>2969.0258260000001</v>
      </c>
      <c r="D7" s="6">
        <v>3373.107105</v>
      </c>
      <c r="J7" s="11" t="s">
        <v>0</v>
      </c>
      <c r="K7" t="s">
        <v>31</v>
      </c>
      <c r="L7" t="s">
        <v>32</v>
      </c>
      <c r="M7" t="s">
        <v>33</v>
      </c>
      <c r="N7" t="s">
        <v>4</v>
      </c>
      <c r="O7" s="6">
        <v>3022.4825930000002</v>
      </c>
      <c r="P7" s="6">
        <v>2969.0258260000001</v>
      </c>
      <c r="Q7" s="6">
        <v>3373.107105</v>
      </c>
      <c r="U7" t="s">
        <v>3</v>
      </c>
      <c r="V7" s="6">
        <v>9659.7851809999993</v>
      </c>
      <c r="AA7" t="s">
        <v>3</v>
      </c>
      <c r="AB7" s="6">
        <v>9659.7851809999993</v>
      </c>
      <c r="AC7" t="str">
        <f t="shared" si="0"/>
        <v/>
      </c>
      <c r="AF7" s="6"/>
      <c r="AX7" t="s">
        <v>14</v>
      </c>
      <c r="AY7" s="10">
        <v>-4.9259312196261132E-2</v>
      </c>
      <c r="AZ7" s="6">
        <v>153909.82</v>
      </c>
      <c r="BA7" s="4">
        <v>3</v>
      </c>
      <c r="BI7" t="s">
        <v>36</v>
      </c>
      <c r="BM7" s="21"/>
      <c r="BN7" s="22"/>
      <c r="BO7" s="23"/>
      <c r="BS7" s="11" t="s">
        <v>9</v>
      </c>
      <c r="CD7" t="s">
        <v>12</v>
      </c>
      <c r="CE7" s="28">
        <v>1061174.3799999999</v>
      </c>
      <c r="CF7" s="28" t="str">
        <f t="shared" ref="CF7:CF10" si="2">IF(CD7=$BT$8,CE7,"")</f>
        <v/>
      </c>
      <c r="CI7" t="s">
        <v>11</v>
      </c>
      <c r="CO7" t="s">
        <v>11</v>
      </c>
      <c r="CT7" t="s">
        <v>11</v>
      </c>
      <c r="CU7" s="10">
        <v>-1.2720801588225462E-2</v>
      </c>
      <c r="CV7" s="10">
        <v>0.24610891586684086</v>
      </c>
    </row>
    <row r="8" spans="1:102" x14ac:dyDescent="0.35">
      <c r="A8" t="s">
        <v>5</v>
      </c>
      <c r="B8" s="6">
        <v>2600.0817860000002</v>
      </c>
      <c r="C8" s="6">
        <v>3149.2932430000001</v>
      </c>
      <c r="D8" s="6">
        <v>3076.4441670000001</v>
      </c>
      <c r="J8" t="s">
        <v>1</v>
      </c>
      <c r="K8" s="6">
        <v>4056.7904100000001</v>
      </c>
      <c r="L8" s="6">
        <v>3987.0069910000002</v>
      </c>
      <c r="M8" s="6">
        <v>4230.0206289999996</v>
      </c>
      <c r="N8" t="s">
        <v>5</v>
      </c>
      <c r="O8" s="6">
        <v>2600.0817860000002</v>
      </c>
      <c r="P8" s="6">
        <v>3149.2932430000001</v>
      </c>
      <c r="Q8" s="6">
        <v>3076.4441670000001</v>
      </c>
      <c r="U8" t="s">
        <v>7</v>
      </c>
      <c r="V8" s="6">
        <v>9495.4660710000007</v>
      </c>
      <c r="AA8" t="s">
        <v>7</v>
      </c>
      <c r="AB8" s="6">
        <v>9495.4660710000007</v>
      </c>
      <c r="AC8" t="str">
        <f t="shared" si="0"/>
        <v/>
      </c>
      <c r="AF8" s="6"/>
      <c r="AX8" t="s">
        <v>12</v>
      </c>
      <c r="AY8" s="10">
        <v>0.15707248653722003</v>
      </c>
      <c r="AZ8" s="6">
        <v>1061174.3799999999</v>
      </c>
      <c r="BA8" s="4">
        <v>4</v>
      </c>
      <c r="BM8" s="21"/>
      <c r="BN8" s="22"/>
      <c r="BO8" s="23"/>
      <c r="BS8" t="s">
        <v>13</v>
      </c>
      <c r="BT8" t="str">
        <f>IF(COUNTA(BS8:BS12)&gt;1,"",BS8)</f>
        <v/>
      </c>
      <c r="CD8" t="s">
        <v>13</v>
      </c>
      <c r="CE8" s="28">
        <v>164575.87</v>
      </c>
      <c r="CF8" s="28" t="str">
        <f t="shared" si="2"/>
        <v/>
      </c>
      <c r="CI8" t="s">
        <v>14</v>
      </c>
      <c r="CO8" t="s">
        <v>14</v>
      </c>
      <c r="CT8" t="s">
        <v>14</v>
      </c>
      <c r="CU8" s="10">
        <v>-2.4752197159839215E-2</v>
      </c>
      <c r="CV8" s="10">
        <v>-2.5129115866809628E-2</v>
      </c>
    </row>
    <row r="9" spans="1:102" x14ac:dyDescent="0.35">
      <c r="A9" t="s">
        <v>6</v>
      </c>
      <c r="B9" s="6">
        <v>3822.0902729999998</v>
      </c>
      <c r="C9" s="6">
        <v>3727.4851410000001</v>
      </c>
      <c r="D9" s="6">
        <v>3633.8167349999999</v>
      </c>
      <c r="J9" t="s">
        <v>2</v>
      </c>
      <c r="K9" s="6">
        <v>3402.7117429999998</v>
      </c>
      <c r="L9" s="6">
        <v>3417.9587200000001</v>
      </c>
      <c r="M9" s="6">
        <v>4050.8194830000002</v>
      </c>
      <c r="N9" t="s">
        <v>6</v>
      </c>
      <c r="O9" s="6">
        <v>3822.0902729999998</v>
      </c>
      <c r="P9" s="6">
        <v>3727.4851410000001</v>
      </c>
      <c r="Q9" s="6">
        <v>3633.8167349999999</v>
      </c>
      <c r="U9" t="s">
        <v>4</v>
      </c>
      <c r="V9" s="6">
        <v>9364.6155240000007</v>
      </c>
      <c r="AA9" t="s">
        <v>4</v>
      </c>
      <c r="AB9" s="6">
        <v>9364.6155240000007</v>
      </c>
      <c r="AC9" t="str">
        <f t="shared" si="0"/>
        <v/>
      </c>
      <c r="AF9" s="6"/>
      <c r="AX9" t="s">
        <v>15</v>
      </c>
      <c r="AY9" s="10">
        <v>0.1340743258422793</v>
      </c>
      <c r="AZ9" s="6">
        <v>151782.04</v>
      </c>
      <c r="BA9" s="4">
        <v>5</v>
      </c>
      <c r="BM9" s="21"/>
      <c r="BN9" s="22"/>
      <c r="BO9" s="23"/>
      <c r="BS9" t="s">
        <v>11</v>
      </c>
      <c r="BT9" t="str">
        <f t="shared" ref="BT9:BT12" si="3">IF(COUNTA(BS9:BS13)&gt;1,"",BS9)</f>
        <v/>
      </c>
      <c r="CD9" t="s">
        <v>14</v>
      </c>
      <c r="CE9" s="28">
        <v>153909.82</v>
      </c>
      <c r="CF9" s="28" t="str">
        <f t="shared" si="2"/>
        <v/>
      </c>
      <c r="CI9" t="s">
        <v>12</v>
      </c>
      <c r="CO9" t="s">
        <v>12</v>
      </c>
      <c r="CT9" t="s">
        <v>12</v>
      </c>
      <c r="CU9" s="10">
        <v>-4.2926690255234712E-2</v>
      </c>
      <c r="CV9" s="10">
        <v>0.20412322827977608</v>
      </c>
    </row>
    <row r="10" spans="1:102" x14ac:dyDescent="0.35">
      <c r="A10" t="s">
        <v>7</v>
      </c>
      <c r="B10" s="6">
        <v>2945.6459730000001</v>
      </c>
      <c r="C10" s="6">
        <v>3209.2386270000002</v>
      </c>
      <c r="D10" s="6">
        <v>3340.581471</v>
      </c>
      <c r="J10" t="s">
        <v>3</v>
      </c>
      <c r="K10" s="6">
        <v>3203.0305880000001</v>
      </c>
      <c r="L10" s="6">
        <v>3122.1850930000001</v>
      </c>
      <c r="M10" s="6">
        <v>3334.5695000000001</v>
      </c>
      <c r="N10" t="s">
        <v>7</v>
      </c>
      <c r="O10" s="6">
        <v>2945.6459730000001</v>
      </c>
      <c r="P10" s="6">
        <v>3209.2386270000002</v>
      </c>
      <c r="Q10" s="6">
        <v>3340.581471</v>
      </c>
      <c r="U10" t="s">
        <v>5</v>
      </c>
      <c r="V10" s="6">
        <v>8825.8191960000004</v>
      </c>
      <c r="AA10" t="s">
        <v>5</v>
      </c>
      <c r="AB10" s="6">
        <v>8825.8191960000004</v>
      </c>
      <c r="AC10" t="str">
        <f t="shared" si="0"/>
        <v/>
      </c>
      <c r="BM10" s="21"/>
      <c r="BN10" s="22"/>
      <c r="BO10" s="23"/>
      <c r="BS10" t="s">
        <v>14</v>
      </c>
      <c r="BT10" t="str">
        <f t="shared" si="3"/>
        <v/>
      </c>
      <c r="CD10" t="s">
        <v>15</v>
      </c>
      <c r="CE10" s="28">
        <v>151782.04</v>
      </c>
      <c r="CF10" s="28" t="str">
        <f t="shared" si="2"/>
        <v/>
      </c>
      <c r="CI10" t="s">
        <v>15</v>
      </c>
      <c r="CO10" t="s">
        <v>15</v>
      </c>
      <c r="CT10" t="s">
        <v>15</v>
      </c>
      <c r="CU10" s="10">
        <v>8.948551740980043E-2</v>
      </c>
      <c r="CV10" s="10">
        <v>4.092648109585395E-2</v>
      </c>
    </row>
    <row r="11" spans="1:102" x14ac:dyDescent="0.35">
      <c r="J11" t="s">
        <v>4</v>
      </c>
      <c r="K11" s="6">
        <v>3022.4825930000002</v>
      </c>
      <c r="L11" s="6">
        <v>2969.0258260000001</v>
      </c>
      <c r="M11" s="6">
        <v>3373.107105</v>
      </c>
      <c r="BM11" s="21"/>
      <c r="BN11" s="22"/>
      <c r="BO11" s="23"/>
      <c r="BS11" t="s">
        <v>12</v>
      </c>
      <c r="BT11" t="str">
        <f t="shared" si="3"/>
        <v/>
      </c>
    </row>
    <row r="12" spans="1:102" x14ac:dyDescent="0.35">
      <c r="J12" t="s">
        <v>5</v>
      </c>
      <c r="K12" s="6">
        <v>2600.0817860000002</v>
      </c>
      <c r="L12" s="6">
        <v>3149.2932430000001</v>
      </c>
      <c r="M12" s="6">
        <v>3076.4441670000001</v>
      </c>
      <c r="BM12" s="21"/>
      <c r="BN12" s="22"/>
      <c r="BO12" s="23"/>
      <c r="BS12" t="s">
        <v>15</v>
      </c>
      <c r="BT12" t="str">
        <f t="shared" si="3"/>
        <v>Muscle Machine Inc</v>
      </c>
    </row>
    <row r="13" spans="1:102" x14ac:dyDescent="0.35">
      <c r="J13" t="s">
        <v>6</v>
      </c>
      <c r="K13" s="6">
        <v>3822.0902729999998</v>
      </c>
      <c r="L13" s="6">
        <v>3727.4851410000001</v>
      </c>
      <c r="M13" s="6">
        <v>3633.8167349999999</v>
      </c>
      <c r="AV13">
        <v>1</v>
      </c>
      <c r="AW13">
        <v>2</v>
      </c>
      <c r="AX13">
        <v>3</v>
      </c>
      <c r="AY13">
        <v>4</v>
      </c>
      <c r="AZ13">
        <v>5</v>
      </c>
      <c r="BM13" s="21"/>
      <c r="BN13" s="22"/>
      <c r="BO13" s="23"/>
    </row>
    <row r="14" spans="1:102" x14ac:dyDescent="0.35">
      <c r="J14" t="s">
        <v>7</v>
      </c>
      <c r="K14" s="6">
        <v>2945.6459730000001</v>
      </c>
      <c r="L14" s="6">
        <v>3209.2386270000002</v>
      </c>
      <c r="M14" s="6">
        <v>3340.581471</v>
      </c>
      <c r="AU14" t="s">
        <v>43</v>
      </c>
      <c r="AV14" s="14">
        <f>IF(Chooseoption=2,AY5*100,IF(Chooseoption=3,BA5,AZ5))</f>
        <v>1</v>
      </c>
      <c r="AW14" s="14">
        <f>IF(Chooseoption=2,AY6*100,IF(Chooseoption=3,BA6,AZ6))</f>
        <v>2</v>
      </c>
      <c r="AX14" s="14">
        <f>IF(Chooseoption=2,AY7*100,IF(Chooseoption=3,BA7,AZ7))</f>
        <v>3</v>
      </c>
      <c r="AY14" s="14">
        <f>IF(Chooseoption=2,AY8*100,IF(Chooseoption=3,BA8,AZ8))</f>
        <v>4</v>
      </c>
      <c r="AZ14" s="14">
        <f>IF(Chooseoption=2,AY9*100,IF(Chooseoption=3,BA9,AZ9))</f>
        <v>5</v>
      </c>
      <c r="BM14" s="21"/>
      <c r="BN14" s="22"/>
      <c r="BO14" s="23"/>
    </row>
    <row r="15" spans="1:102" x14ac:dyDescent="0.35">
      <c r="BM15" s="21"/>
      <c r="BN15" s="22"/>
      <c r="BO15" s="23"/>
    </row>
    <row r="16" spans="1:102" x14ac:dyDescent="0.35">
      <c r="BM16" s="21"/>
      <c r="BN16" s="22"/>
      <c r="BO16" s="23"/>
    </row>
    <row r="17" spans="47:67" x14ac:dyDescent="0.35">
      <c r="AX17" s="17"/>
      <c r="BM17" s="21"/>
      <c r="BN17" s="22"/>
      <c r="BO17" s="23"/>
    </row>
    <row r="18" spans="47:67" x14ac:dyDescent="0.35">
      <c r="AU18" s="14"/>
      <c r="BM18" s="21"/>
      <c r="BN18" s="22"/>
      <c r="BO18" s="23"/>
    </row>
    <row r="19" spans="47:67" x14ac:dyDescent="0.35">
      <c r="BM19" s="21"/>
      <c r="BN19" s="22"/>
      <c r="BO19" s="23"/>
    </row>
    <row r="20" spans="47:67" x14ac:dyDescent="0.35">
      <c r="BM20" s="21"/>
      <c r="BN20" s="22"/>
      <c r="BO20" s="23"/>
    </row>
    <row r="21" spans="47:67" x14ac:dyDescent="0.35">
      <c r="BM21" s="21"/>
      <c r="BN21" s="22"/>
      <c r="BO21" s="23"/>
    </row>
    <row r="22" spans="47:67" x14ac:dyDescent="0.35">
      <c r="BM22" s="24"/>
      <c r="BN22" s="25"/>
      <c r="BO22" s="26"/>
    </row>
  </sheetData>
  <pageMargins left="0.7" right="0.7" top="0.75" bottom="0.75" header="0.3" footer="0.3"/>
  <pageSetup orientation="portrait" r:id="rId17"/>
  <drawing r:id="rId18"/>
  <extLst>
    <ext xmlns:x14="http://schemas.microsoft.com/office/spreadsheetml/2009/9/main" uri="{A8765BA9-456A-4dab-B4F3-ACF838C121DE}">
      <x14:slicerList>
        <x14:slicer r:id="rId1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FD335-B0D1-4BAB-B050-27191150B19A}">
  <sheetPr codeName="Sheet2"/>
  <dimension ref="A1:X53"/>
  <sheetViews>
    <sheetView showGridLines="0" showRowColHeaders="0" tabSelected="1" zoomScale="90" zoomScaleNormal="90" workbookViewId="0">
      <selection activeCell="O45" sqref="O45"/>
    </sheetView>
  </sheetViews>
  <sheetFormatPr defaultColWidth="0" defaultRowHeight="14.5" zeroHeight="1" x14ac:dyDescent="0.35"/>
  <cols>
    <col min="1" max="21" width="9.1796875" customWidth="1"/>
    <col min="22" max="24" width="0" hidden="1" customWidth="1"/>
    <col min="25" max="16384" width="9.1796875" hidden="1"/>
  </cols>
  <sheetData>
    <row r="1" spans="1:24" x14ac:dyDescent="0.35"/>
    <row r="2" spans="1:24" x14ac:dyDescent="0.35"/>
    <row r="3" spans="1:24" x14ac:dyDescent="0.35"/>
    <row r="4" spans="1:24" x14ac:dyDescent="0.35"/>
    <row r="5" spans="1:24" x14ac:dyDescent="0.35"/>
    <row r="6" spans="1:24" x14ac:dyDescent="0.35">
      <c r="A6" s="31"/>
      <c r="B6" s="31"/>
      <c r="C6" s="31"/>
      <c r="D6" s="31"/>
      <c r="E6" s="31"/>
      <c r="F6" s="31"/>
      <c r="G6" s="31"/>
      <c r="H6" s="31"/>
      <c r="I6" s="31"/>
      <c r="J6" s="31"/>
      <c r="K6" s="31"/>
      <c r="L6" s="31"/>
      <c r="M6" s="31"/>
      <c r="N6" s="31"/>
      <c r="O6" s="31"/>
      <c r="P6" s="31"/>
      <c r="Q6" s="31"/>
      <c r="R6" s="31"/>
      <c r="S6" s="31"/>
      <c r="T6" s="31"/>
      <c r="U6" s="31"/>
      <c r="V6" s="32"/>
      <c r="W6" s="32"/>
      <c r="X6" s="32"/>
    </row>
    <row r="7" spans="1:24" x14ac:dyDescent="0.35">
      <c r="A7" s="31"/>
      <c r="B7" s="31"/>
      <c r="C7" s="31"/>
      <c r="D7" s="31"/>
      <c r="E7" s="31"/>
      <c r="F7" s="31"/>
      <c r="G7" s="31"/>
      <c r="H7" s="31"/>
      <c r="I7" s="31"/>
      <c r="J7" s="31"/>
      <c r="K7" s="31"/>
      <c r="L7" s="31"/>
      <c r="M7" s="31"/>
      <c r="N7" s="31"/>
      <c r="O7" s="31"/>
      <c r="P7" s="31"/>
      <c r="Q7" s="31"/>
      <c r="R7" s="31"/>
      <c r="S7" s="31"/>
      <c r="T7" s="31"/>
      <c r="U7" s="31"/>
      <c r="V7" s="32"/>
      <c r="W7" s="32"/>
      <c r="X7" s="32"/>
    </row>
    <row r="8" spans="1:24" x14ac:dyDescent="0.35">
      <c r="A8" s="31"/>
      <c r="B8" s="31"/>
      <c r="C8" s="31"/>
      <c r="D8" s="31"/>
      <c r="E8" s="31"/>
      <c r="F8" s="31"/>
      <c r="G8" s="31"/>
      <c r="H8" s="31"/>
      <c r="I8" s="31"/>
      <c r="J8" s="31"/>
      <c r="K8" s="31"/>
      <c r="L8" s="31"/>
      <c r="M8" s="31"/>
      <c r="N8" s="31"/>
      <c r="O8" s="31"/>
      <c r="P8" s="31"/>
      <c r="Q8" s="31"/>
      <c r="R8" s="31"/>
      <c r="S8" s="31"/>
      <c r="T8" s="31"/>
      <c r="U8" s="31"/>
      <c r="V8" s="32"/>
      <c r="W8" s="32"/>
      <c r="X8" s="32"/>
    </row>
    <row r="9" spans="1:24" x14ac:dyDescent="0.35">
      <c r="A9" s="31"/>
      <c r="B9" s="31"/>
      <c r="C9" s="31"/>
      <c r="D9" s="31"/>
      <c r="E9" s="31"/>
      <c r="F9" s="31"/>
      <c r="G9" s="31"/>
      <c r="H9" s="31"/>
      <c r="I9" s="31"/>
      <c r="J9" s="31"/>
      <c r="K9" s="31"/>
      <c r="L9" s="31"/>
      <c r="M9" s="31"/>
      <c r="N9" s="31"/>
      <c r="O9" s="31"/>
      <c r="P9" s="31"/>
      <c r="Q9" s="31"/>
      <c r="R9" s="31"/>
      <c r="S9" s="31"/>
      <c r="T9" s="31"/>
      <c r="U9" s="31"/>
      <c r="V9" s="32"/>
      <c r="W9" s="32"/>
      <c r="X9" s="32"/>
    </row>
    <row r="10" spans="1:24" x14ac:dyDescent="0.35">
      <c r="A10" s="31"/>
      <c r="B10" s="31"/>
      <c r="C10" s="31"/>
      <c r="D10" s="31"/>
      <c r="E10" s="31"/>
      <c r="F10" s="31"/>
      <c r="G10" s="31"/>
      <c r="H10" s="31"/>
      <c r="I10" s="31"/>
      <c r="J10" s="31"/>
      <c r="K10" s="31"/>
      <c r="L10" s="31"/>
      <c r="M10" s="31"/>
      <c r="N10" s="31"/>
      <c r="O10" s="31"/>
      <c r="P10" s="31"/>
      <c r="Q10" s="31"/>
      <c r="R10" s="31"/>
      <c r="S10" s="31"/>
      <c r="T10" s="31"/>
      <c r="U10" s="31"/>
      <c r="V10" s="32"/>
      <c r="W10" s="32"/>
      <c r="X10" s="32"/>
    </row>
    <row r="11" spans="1:24" x14ac:dyDescent="0.35">
      <c r="A11" s="31"/>
      <c r="B11" s="31"/>
      <c r="C11" s="31"/>
      <c r="D11" s="31"/>
      <c r="E11" s="31"/>
      <c r="F11" s="31"/>
      <c r="G11" s="31"/>
      <c r="H11" s="31"/>
      <c r="I11" s="31"/>
      <c r="J11" s="31"/>
      <c r="K11" s="31"/>
      <c r="L11" s="31"/>
      <c r="M11" s="31"/>
      <c r="N11" s="31"/>
      <c r="O11" s="31"/>
      <c r="P11" s="31"/>
      <c r="Q11" s="31"/>
      <c r="R11" s="31"/>
      <c r="S11" s="31"/>
      <c r="T11" s="31"/>
      <c r="U11" s="31"/>
      <c r="V11" s="32"/>
      <c r="W11" s="32"/>
      <c r="X11" s="32"/>
    </row>
    <row r="12" spans="1:24" x14ac:dyDescent="0.35">
      <c r="A12" s="31"/>
      <c r="B12" s="31"/>
      <c r="C12" s="31"/>
      <c r="D12" s="31"/>
      <c r="E12" s="31"/>
      <c r="F12" s="31"/>
      <c r="G12" s="31"/>
      <c r="H12" s="31"/>
      <c r="I12" s="31"/>
      <c r="J12" s="31"/>
      <c r="K12" s="31"/>
      <c r="L12" s="31"/>
      <c r="M12" s="31"/>
      <c r="N12" s="31"/>
      <c r="O12" s="31"/>
      <c r="P12" s="31"/>
      <c r="Q12" s="31"/>
      <c r="R12" s="31"/>
      <c r="S12" s="31"/>
      <c r="T12" s="31"/>
      <c r="U12" s="31"/>
      <c r="V12" s="32"/>
      <c r="W12" s="32"/>
      <c r="X12" s="32"/>
    </row>
    <row r="13" spans="1:24" x14ac:dyDescent="0.35">
      <c r="A13" s="31"/>
      <c r="B13" s="31"/>
      <c r="C13" s="31"/>
      <c r="D13" s="31"/>
      <c r="E13" s="31"/>
      <c r="F13" s="31"/>
      <c r="G13" s="31"/>
      <c r="H13" s="31"/>
      <c r="I13" s="31"/>
      <c r="J13" s="31"/>
      <c r="K13" s="31"/>
      <c r="L13" s="31"/>
      <c r="M13" s="31"/>
      <c r="N13" s="31"/>
      <c r="O13" s="31"/>
      <c r="P13" s="31"/>
      <c r="Q13" s="31"/>
      <c r="R13" s="31"/>
      <c r="S13" s="31"/>
      <c r="T13" s="31"/>
      <c r="U13" s="31"/>
      <c r="V13" s="32"/>
      <c r="W13" s="32"/>
      <c r="X13" s="32"/>
    </row>
    <row r="14" spans="1:24" x14ac:dyDescent="0.35">
      <c r="A14" s="31"/>
      <c r="B14" s="31"/>
      <c r="C14" s="31"/>
      <c r="D14" s="31"/>
      <c r="E14" s="31"/>
      <c r="F14" s="31"/>
      <c r="G14" s="31"/>
      <c r="H14" s="31"/>
      <c r="I14" s="31"/>
      <c r="J14" s="31"/>
      <c r="K14" s="31"/>
      <c r="L14" s="31"/>
      <c r="M14" s="31"/>
      <c r="N14" s="31"/>
      <c r="O14" s="31"/>
      <c r="P14" s="31"/>
      <c r="Q14" s="31"/>
      <c r="R14" s="31"/>
      <c r="S14" s="31"/>
      <c r="T14" s="31"/>
      <c r="U14" s="31"/>
      <c r="V14" s="32"/>
      <c r="W14" s="32"/>
      <c r="X14" s="32"/>
    </row>
    <row r="15" spans="1:24" x14ac:dyDescent="0.35">
      <c r="A15" s="31"/>
      <c r="B15" s="31"/>
      <c r="C15" s="31"/>
      <c r="D15" s="31"/>
      <c r="E15" s="31"/>
      <c r="F15" s="31"/>
      <c r="G15" s="31"/>
      <c r="H15" s="31"/>
      <c r="I15" s="31"/>
      <c r="J15" s="31"/>
      <c r="K15" s="31"/>
      <c r="L15" s="31"/>
      <c r="M15" s="31"/>
      <c r="N15" s="31"/>
      <c r="O15" s="31"/>
      <c r="P15" s="31"/>
      <c r="Q15" s="31"/>
      <c r="R15" s="31"/>
      <c r="S15" s="31"/>
      <c r="T15" s="31"/>
      <c r="U15" s="31"/>
      <c r="V15" s="32"/>
      <c r="W15" s="32"/>
      <c r="X15" s="32"/>
    </row>
    <row r="16" spans="1:24" x14ac:dyDescent="0.35">
      <c r="A16" s="31"/>
      <c r="B16" s="31"/>
      <c r="C16" s="31"/>
      <c r="D16" s="31"/>
      <c r="E16" s="31"/>
      <c r="F16" s="31"/>
      <c r="G16" s="31"/>
      <c r="H16" s="31"/>
      <c r="I16" s="31"/>
      <c r="J16" s="31"/>
      <c r="K16" s="31"/>
      <c r="L16" s="31"/>
      <c r="M16" s="31"/>
      <c r="N16" s="31"/>
      <c r="O16" s="31"/>
      <c r="P16" s="31"/>
      <c r="Q16" s="31"/>
      <c r="R16" s="31"/>
      <c r="S16" s="31"/>
      <c r="T16" s="31"/>
      <c r="U16" s="31"/>
      <c r="V16" s="32"/>
      <c r="W16" s="32"/>
      <c r="X16" s="32"/>
    </row>
    <row r="17" spans="1:24" x14ac:dyDescent="0.35">
      <c r="A17" s="31"/>
      <c r="B17" s="31"/>
      <c r="C17" s="31"/>
      <c r="D17" s="31"/>
      <c r="E17" s="31"/>
      <c r="F17" s="31"/>
      <c r="G17" s="31"/>
      <c r="H17" s="31"/>
      <c r="I17" s="31"/>
      <c r="J17" s="31"/>
      <c r="K17" s="31"/>
      <c r="L17" s="31"/>
      <c r="M17" s="31"/>
      <c r="N17" s="31"/>
      <c r="O17" s="31"/>
      <c r="P17" s="31"/>
      <c r="Q17" s="31"/>
      <c r="R17" s="31"/>
      <c r="S17" s="31"/>
      <c r="T17" s="31"/>
      <c r="U17" s="31"/>
      <c r="V17" s="32"/>
      <c r="W17" s="32"/>
      <c r="X17" s="32"/>
    </row>
    <row r="18" spans="1:24" x14ac:dyDescent="0.35">
      <c r="A18" s="31"/>
      <c r="B18" s="31"/>
      <c r="C18" s="31"/>
      <c r="D18" s="31"/>
      <c r="E18" s="31"/>
      <c r="F18" s="31"/>
      <c r="G18" s="31"/>
      <c r="H18" s="31"/>
      <c r="I18" s="31"/>
      <c r="J18" s="31"/>
      <c r="K18" s="31"/>
      <c r="L18" s="31"/>
      <c r="M18" s="31"/>
      <c r="N18" s="31"/>
      <c r="O18" s="31"/>
      <c r="P18" s="31"/>
      <c r="Q18" s="31"/>
      <c r="R18" s="31"/>
      <c r="S18" s="31"/>
      <c r="T18" s="31"/>
      <c r="U18" s="31"/>
      <c r="V18" s="32"/>
      <c r="W18" s="32"/>
      <c r="X18" s="32"/>
    </row>
    <row r="19" spans="1:24" x14ac:dyDescent="0.35">
      <c r="A19" s="31"/>
      <c r="B19" s="31"/>
      <c r="C19" s="31"/>
      <c r="D19" s="31"/>
      <c r="E19" s="31"/>
      <c r="F19" s="31"/>
      <c r="G19" s="31"/>
      <c r="H19" s="31"/>
      <c r="I19" s="31"/>
      <c r="J19" s="31"/>
      <c r="K19" s="31"/>
      <c r="L19" s="31"/>
      <c r="M19" s="31"/>
      <c r="N19" s="31"/>
      <c r="O19" s="31"/>
      <c r="P19" s="31"/>
      <c r="Q19" s="31"/>
      <c r="R19" s="31"/>
      <c r="S19" s="31"/>
      <c r="T19" s="31"/>
      <c r="U19" s="31"/>
      <c r="V19" s="32"/>
      <c r="W19" s="32"/>
      <c r="X19" s="32"/>
    </row>
    <row r="20" spans="1:24" x14ac:dyDescent="0.35">
      <c r="A20" s="31"/>
      <c r="B20" s="31"/>
      <c r="C20" s="31"/>
      <c r="D20" s="31"/>
      <c r="E20" s="31"/>
      <c r="F20" s="31"/>
      <c r="G20" s="31"/>
      <c r="H20" s="31"/>
      <c r="I20" s="31"/>
      <c r="J20" s="31"/>
      <c r="K20" s="31"/>
      <c r="L20" s="31"/>
      <c r="M20" s="31"/>
      <c r="N20" s="31"/>
      <c r="O20" s="31"/>
      <c r="P20" s="31"/>
      <c r="Q20" s="31"/>
      <c r="R20" s="31"/>
      <c r="S20" s="31"/>
      <c r="T20" s="31"/>
      <c r="U20" s="31"/>
      <c r="V20" s="32"/>
      <c r="W20" s="32"/>
      <c r="X20" s="32"/>
    </row>
    <row r="21" spans="1:24" x14ac:dyDescent="0.35">
      <c r="A21" s="31"/>
      <c r="B21" s="31"/>
      <c r="C21" s="31"/>
      <c r="D21" s="31"/>
      <c r="E21" s="31"/>
      <c r="F21" s="31"/>
      <c r="G21" s="31"/>
      <c r="H21" s="31"/>
      <c r="I21" s="31"/>
      <c r="J21" s="31"/>
      <c r="K21" s="31"/>
      <c r="L21" s="31"/>
      <c r="M21" s="31"/>
      <c r="N21" s="31"/>
      <c r="O21" s="31"/>
      <c r="P21" s="31"/>
      <c r="Q21" s="31"/>
      <c r="R21" s="31"/>
      <c r="S21" s="31"/>
      <c r="T21" s="31"/>
      <c r="U21" s="31"/>
      <c r="V21" s="32"/>
      <c r="W21" s="32"/>
      <c r="X21" s="32"/>
    </row>
    <row r="22" spans="1:24" x14ac:dyDescent="0.35">
      <c r="A22" s="31"/>
      <c r="B22" s="31"/>
      <c r="C22" s="31"/>
      <c r="D22" s="31"/>
      <c r="E22" s="31"/>
      <c r="F22" s="31"/>
      <c r="G22" s="31"/>
      <c r="H22" s="31"/>
      <c r="I22" s="31"/>
      <c r="J22" s="31"/>
      <c r="K22" s="31"/>
      <c r="L22" s="31"/>
      <c r="M22" s="31"/>
      <c r="N22" s="31"/>
      <c r="O22" s="31"/>
      <c r="P22" s="31"/>
      <c r="Q22" s="31"/>
      <c r="R22" s="31"/>
      <c r="S22" s="31"/>
      <c r="T22" s="31"/>
      <c r="U22" s="31"/>
      <c r="V22" s="32"/>
      <c r="W22" s="32"/>
      <c r="X22" s="32"/>
    </row>
    <row r="23" spans="1:24" x14ac:dyDescent="0.35">
      <c r="A23" s="31"/>
      <c r="B23" s="31"/>
      <c r="C23" s="31"/>
      <c r="D23" s="31"/>
      <c r="E23" s="31"/>
      <c r="F23" s="31"/>
      <c r="G23" s="31"/>
      <c r="H23" s="31"/>
      <c r="I23" s="31"/>
      <c r="J23" s="31"/>
      <c r="K23" s="31"/>
      <c r="L23" s="31"/>
      <c r="M23" s="31"/>
      <c r="N23" s="31"/>
      <c r="O23" s="31"/>
      <c r="P23" s="31"/>
      <c r="Q23" s="31"/>
      <c r="R23" s="31"/>
      <c r="S23" s="31"/>
      <c r="T23" s="31"/>
      <c r="U23" s="31"/>
      <c r="V23" s="32"/>
      <c r="W23" s="32"/>
      <c r="X23" s="32"/>
    </row>
    <row r="24" spans="1:24" x14ac:dyDescent="0.35">
      <c r="A24" s="31"/>
      <c r="B24" s="31"/>
      <c r="C24" s="31"/>
      <c r="D24" s="31"/>
      <c r="E24" s="31"/>
      <c r="F24" s="31"/>
      <c r="G24" s="31"/>
      <c r="H24" s="31"/>
      <c r="I24" s="31"/>
      <c r="J24" s="31"/>
      <c r="K24" s="31"/>
      <c r="L24" s="31"/>
      <c r="M24" s="31"/>
      <c r="N24" s="31"/>
      <c r="O24" s="31"/>
      <c r="P24" s="31"/>
      <c r="Q24" s="31"/>
      <c r="R24" s="31"/>
      <c r="S24" s="31"/>
      <c r="T24" s="31"/>
      <c r="U24" s="31"/>
      <c r="V24" s="32"/>
      <c r="W24" s="32"/>
      <c r="X24" s="32"/>
    </row>
    <row r="25" spans="1:24" x14ac:dyDescent="0.35">
      <c r="A25" s="31"/>
      <c r="B25" s="31"/>
      <c r="C25" s="31"/>
      <c r="D25" s="31"/>
      <c r="E25" s="31"/>
      <c r="F25" s="31"/>
      <c r="G25" s="31"/>
      <c r="H25" s="31"/>
      <c r="I25" s="31"/>
      <c r="J25" s="31"/>
      <c r="K25" s="31"/>
      <c r="L25" s="31"/>
      <c r="M25" s="31"/>
      <c r="N25" s="31"/>
      <c r="O25" s="31"/>
      <c r="P25" s="31"/>
      <c r="Q25" s="31"/>
      <c r="R25" s="31"/>
      <c r="S25" s="31"/>
      <c r="T25" s="31"/>
      <c r="U25" s="31"/>
      <c r="V25" s="32"/>
      <c r="W25" s="32"/>
      <c r="X25" s="32"/>
    </row>
    <row r="26" spans="1:24" x14ac:dyDescent="0.35">
      <c r="A26" s="31"/>
      <c r="B26" s="31"/>
      <c r="C26" s="31"/>
      <c r="D26" s="31"/>
      <c r="E26" s="31"/>
      <c r="F26" s="31"/>
      <c r="G26" s="31"/>
      <c r="H26" s="31"/>
      <c r="I26" s="31"/>
      <c r="J26" s="31"/>
      <c r="K26" s="31"/>
      <c r="L26" s="31"/>
      <c r="M26" s="31"/>
      <c r="N26" s="31"/>
      <c r="O26" s="31"/>
      <c r="P26" s="31"/>
      <c r="Q26" s="31"/>
      <c r="R26" s="31"/>
      <c r="S26" s="31"/>
      <c r="T26" s="31"/>
      <c r="U26" s="31"/>
      <c r="V26" s="32"/>
      <c r="W26" s="32"/>
      <c r="X26" s="32"/>
    </row>
    <row r="27" spans="1:24" x14ac:dyDescent="0.35">
      <c r="A27" s="31"/>
      <c r="B27" s="31"/>
      <c r="C27" s="31"/>
      <c r="D27" s="31"/>
      <c r="E27" s="31"/>
      <c r="F27" s="31"/>
      <c r="G27" s="31"/>
      <c r="H27" s="31"/>
      <c r="I27" s="31"/>
      <c r="J27" s="31"/>
      <c r="K27" s="31"/>
      <c r="L27" s="31"/>
      <c r="M27" s="31"/>
      <c r="N27" s="31"/>
      <c r="O27" s="31"/>
      <c r="P27" s="31"/>
      <c r="Q27" s="31"/>
      <c r="R27" s="31"/>
      <c r="S27" s="31"/>
      <c r="T27" s="31"/>
      <c r="U27" s="31"/>
      <c r="V27" s="32"/>
      <c r="W27" s="32"/>
      <c r="X27" s="32"/>
    </row>
    <row r="28" spans="1:24" x14ac:dyDescent="0.35">
      <c r="A28" s="31"/>
      <c r="B28" s="31"/>
      <c r="C28" s="31"/>
      <c r="D28" s="31"/>
      <c r="E28" s="31"/>
      <c r="F28" s="31"/>
      <c r="G28" s="31"/>
      <c r="H28" s="31"/>
      <c r="I28" s="31"/>
      <c r="J28" s="31"/>
      <c r="K28" s="31"/>
      <c r="L28" s="31"/>
      <c r="M28" s="31"/>
      <c r="N28" s="31"/>
      <c r="O28" s="31"/>
      <c r="P28" s="31"/>
      <c r="Q28" s="31"/>
      <c r="R28" s="31"/>
      <c r="S28" s="31"/>
      <c r="T28" s="31"/>
      <c r="U28" s="31"/>
      <c r="V28" s="32"/>
      <c r="W28" s="32"/>
      <c r="X28" s="32"/>
    </row>
    <row r="29" spans="1:24" x14ac:dyDescent="0.35">
      <c r="A29" s="31"/>
      <c r="B29" s="31"/>
      <c r="C29" s="31"/>
      <c r="D29" s="31"/>
      <c r="E29" s="31"/>
      <c r="F29" s="31"/>
      <c r="G29" s="31"/>
      <c r="H29" s="31"/>
      <c r="I29" s="31"/>
      <c r="J29" s="31"/>
      <c r="K29" s="31"/>
      <c r="L29" s="31"/>
      <c r="M29" s="31"/>
      <c r="N29" s="31"/>
      <c r="O29" s="31"/>
      <c r="P29" s="31"/>
      <c r="Q29" s="31"/>
      <c r="R29" s="31"/>
      <c r="S29" s="31"/>
      <c r="T29" s="31"/>
      <c r="U29" s="31"/>
      <c r="V29" s="32"/>
      <c r="W29" s="32"/>
      <c r="X29" s="32"/>
    </row>
    <row r="30" spans="1:24" x14ac:dyDescent="0.35">
      <c r="A30" s="31"/>
      <c r="B30" s="31"/>
      <c r="C30" s="31"/>
      <c r="D30" s="31"/>
      <c r="E30" s="31"/>
      <c r="F30" s="31"/>
      <c r="G30" s="31"/>
      <c r="H30" s="31"/>
      <c r="I30" s="31"/>
      <c r="J30" s="31"/>
      <c r="K30" s="31"/>
      <c r="L30" s="31"/>
      <c r="M30" s="31"/>
      <c r="N30" s="31"/>
      <c r="O30" s="31"/>
      <c r="P30" s="31"/>
      <c r="Q30" s="31"/>
      <c r="R30" s="31"/>
      <c r="S30" s="31"/>
      <c r="T30" s="31"/>
      <c r="U30" s="31"/>
      <c r="V30" s="32"/>
      <c r="W30" s="32"/>
      <c r="X30" s="32"/>
    </row>
    <row r="31" spans="1:24" x14ac:dyDescent="0.35">
      <c r="A31" s="31"/>
      <c r="B31" s="31"/>
      <c r="C31" s="31"/>
      <c r="D31" s="31"/>
      <c r="E31" s="31"/>
      <c r="F31" s="31"/>
      <c r="G31" s="31"/>
      <c r="H31" s="31"/>
      <c r="I31" s="31"/>
      <c r="J31" s="31"/>
      <c r="K31" s="31"/>
      <c r="L31" s="31"/>
      <c r="M31" s="31"/>
      <c r="N31" s="31"/>
      <c r="O31" s="31"/>
      <c r="P31" s="31"/>
      <c r="Q31" s="31"/>
      <c r="R31" s="31"/>
      <c r="S31" s="31"/>
      <c r="T31" s="31"/>
      <c r="U31" s="31"/>
      <c r="V31" s="32"/>
      <c r="W31" s="32"/>
      <c r="X31" s="32"/>
    </row>
    <row r="32" spans="1:24" x14ac:dyDescent="0.35">
      <c r="A32" s="31"/>
      <c r="B32" s="31"/>
      <c r="C32" s="31"/>
      <c r="D32" s="31"/>
      <c r="E32" s="31"/>
      <c r="F32" s="31"/>
      <c r="G32" s="31"/>
      <c r="H32" s="31"/>
      <c r="I32" s="31"/>
      <c r="J32" s="31"/>
      <c r="K32" s="31"/>
      <c r="L32" s="31"/>
      <c r="M32" s="31"/>
      <c r="N32" s="31"/>
      <c r="O32" s="31"/>
      <c r="P32" s="31"/>
      <c r="Q32" s="31"/>
      <c r="R32" s="31"/>
      <c r="S32" s="31"/>
      <c r="T32" s="31"/>
      <c r="U32" s="31"/>
      <c r="V32" s="32"/>
      <c r="W32" s="32"/>
      <c r="X32" s="32"/>
    </row>
    <row r="33" spans="1:24" x14ac:dyDescent="0.35">
      <c r="A33" s="31"/>
      <c r="B33" s="31"/>
      <c r="C33" s="31"/>
      <c r="D33" s="31"/>
      <c r="E33" s="31"/>
      <c r="F33" s="31"/>
      <c r="G33" s="31"/>
      <c r="H33" s="31"/>
      <c r="I33" s="31"/>
      <c r="J33" s="31"/>
      <c r="K33" s="31"/>
      <c r="L33" s="31"/>
      <c r="M33" s="31"/>
      <c r="N33" s="31"/>
      <c r="O33" s="31"/>
      <c r="P33" s="31"/>
      <c r="Q33" s="31"/>
      <c r="R33" s="31"/>
      <c r="S33" s="31"/>
      <c r="T33" s="31"/>
      <c r="U33" s="31"/>
      <c r="V33" s="32"/>
      <c r="W33" s="32"/>
      <c r="X33" s="32"/>
    </row>
    <row r="34" spans="1:24" x14ac:dyDescent="0.35">
      <c r="A34" s="31"/>
      <c r="B34" s="31"/>
      <c r="C34" s="31"/>
      <c r="D34" s="31"/>
      <c r="E34" s="31"/>
      <c r="F34" s="31"/>
      <c r="G34" s="31"/>
      <c r="H34" s="31"/>
      <c r="I34" s="31"/>
      <c r="J34" s="31"/>
      <c r="K34" s="31"/>
      <c r="L34" s="31"/>
      <c r="M34" s="31"/>
      <c r="N34" s="31"/>
      <c r="O34" s="31"/>
      <c r="P34" s="31"/>
      <c r="Q34" s="31"/>
      <c r="R34" s="31"/>
      <c r="S34" s="31"/>
      <c r="T34" s="31"/>
      <c r="U34" s="31"/>
      <c r="V34" s="32"/>
      <c r="W34" s="32"/>
      <c r="X34" s="32"/>
    </row>
    <row r="35" spans="1:24" x14ac:dyDescent="0.35">
      <c r="A35" s="31"/>
      <c r="B35" s="31"/>
      <c r="C35" s="31"/>
      <c r="D35" s="31"/>
      <c r="E35" s="31"/>
      <c r="F35" s="31"/>
      <c r="G35" s="31"/>
      <c r="H35" s="31"/>
      <c r="I35" s="31"/>
      <c r="J35" s="31"/>
      <c r="K35" s="31"/>
      <c r="L35" s="31"/>
      <c r="M35" s="31"/>
      <c r="N35" s="31"/>
      <c r="O35" s="31"/>
      <c r="P35" s="31"/>
      <c r="Q35" s="31"/>
      <c r="R35" s="31"/>
      <c r="S35" s="31"/>
      <c r="T35" s="31"/>
      <c r="U35" s="31"/>
      <c r="V35" s="32"/>
      <c r="W35" s="32"/>
      <c r="X35" s="32"/>
    </row>
    <row r="36" spans="1:24" x14ac:dyDescent="0.35">
      <c r="A36" s="31"/>
      <c r="B36" s="31"/>
      <c r="C36" s="31"/>
      <c r="D36" s="31"/>
      <c r="E36" s="31"/>
      <c r="F36" s="31"/>
      <c r="G36" s="31"/>
      <c r="H36" s="31"/>
      <c r="I36" s="31"/>
      <c r="J36" s="31"/>
      <c r="K36" s="31"/>
      <c r="L36" s="31"/>
      <c r="M36" s="31"/>
      <c r="N36" s="31"/>
      <c r="O36" s="31"/>
      <c r="P36" s="31"/>
      <c r="Q36" s="31"/>
      <c r="R36" s="31"/>
      <c r="S36" s="31"/>
      <c r="T36" s="31"/>
      <c r="U36" s="31"/>
      <c r="V36" s="32"/>
      <c r="W36" s="32"/>
      <c r="X36" s="32"/>
    </row>
    <row r="37" spans="1:24" x14ac:dyDescent="0.35">
      <c r="A37" s="31"/>
      <c r="B37" s="31"/>
      <c r="C37" s="31"/>
      <c r="D37" s="31"/>
      <c r="E37" s="31"/>
      <c r="F37" s="31"/>
      <c r="G37" s="31"/>
      <c r="H37" s="31"/>
      <c r="I37" s="31"/>
      <c r="J37" s="31"/>
      <c r="K37" s="31"/>
      <c r="L37" s="31"/>
      <c r="M37" s="31"/>
      <c r="N37" s="31"/>
      <c r="O37" s="31"/>
      <c r="P37" s="31"/>
      <c r="Q37" s="31"/>
      <c r="R37" s="31"/>
      <c r="S37" s="31"/>
      <c r="T37" s="31"/>
      <c r="U37" s="31"/>
      <c r="V37" s="32"/>
      <c r="W37" s="32"/>
      <c r="X37" s="32"/>
    </row>
    <row r="38" spans="1:24" x14ac:dyDescent="0.35">
      <c r="A38" s="31"/>
      <c r="B38" s="31"/>
      <c r="C38" s="31"/>
      <c r="D38" s="31"/>
      <c r="E38" s="31"/>
      <c r="F38" s="31"/>
      <c r="G38" s="31"/>
      <c r="H38" s="31"/>
      <c r="I38" s="31"/>
      <c r="J38" s="31"/>
      <c r="K38" s="31"/>
      <c r="L38" s="31"/>
      <c r="M38" s="31"/>
      <c r="N38" s="31"/>
      <c r="O38" s="31"/>
      <c r="P38" s="31"/>
      <c r="Q38" s="31"/>
      <c r="R38" s="31"/>
      <c r="S38" s="31"/>
      <c r="T38" s="31"/>
      <c r="U38" s="31"/>
      <c r="V38" s="32"/>
      <c r="W38" s="32"/>
      <c r="X38" s="32" t="s">
        <v>50</v>
      </c>
    </row>
    <row r="39" spans="1:24" x14ac:dyDescent="0.35">
      <c r="A39" s="31"/>
      <c r="B39" s="31"/>
      <c r="C39" s="31"/>
      <c r="D39" s="31"/>
      <c r="E39" s="31"/>
      <c r="F39" s="31"/>
      <c r="G39" s="31"/>
      <c r="H39" s="31"/>
      <c r="I39" s="31"/>
      <c r="J39" s="31"/>
      <c r="K39" s="31"/>
      <c r="L39" s="31"/>
      <c r="M39" s="31"/>
      <c r="N39" s="31"/>
      <c r="O39" s="31"/>
      <c r="P39" s="31"/>
      <c r="Q39" s="31"/>
      <c r="R39" s="31"/>
      <c r="S39" s="31"/>
      <c r="T39" s="31"/>
      <c r="U39" s="31"/>
      <c r="V39" s="32"/>
      <c r="W39" s="32"/>
      <c r="X39" s="32"/>
    </row>
    <row r="40" spans="1:24" x14ac:dyDescent="0.35">
      <c r="A40" s="31"/>
      <c r="B40" s="31"/>
      <c r="C40" s="31"/>
      <c r="D40" s="31"/>
      <c r="E40" s="31"/>
      <c r="F40" s="31"/>
      <c r="G40" s="31"/>
      <c r="H40" s="31"/>
      <c r="I40" s="31"/>
      <c r="J40" s="31"/>
      <c r="K40" s="31"/>
      <c r="L40" s="31"/>
      <c r="M40" s="31"/>
      <c r="N40" s="31"/>
      <c r="O40" s="31"/>
      <c r="P40" s="31"/>
      <c r="Q40" s="31"/>
      <c r="R40" s="31"/>
      <c r="S40" s="31"/>
      <c r="T40" s="31"/>
      <c r="U40" s="31"/>
      <c r="V40" s="32"/>
      <c r="W40" s="32"/>
      <c r="X40" s="32"/>
    </row>
    <row r="41" spans="1:24" x14ac:dyDescent="0.35">
      <c r="A41" s="31"/>
      <c r="B41" s="31"/>
      <c r="C41" s="31"/>
      <c r="D41" s="31"/>
      <c r="E41" s="31"/>
      <c r="F41" s="31"/>
      <c r="G41" s="31"/>
      <c r="H41" s="31"/>
      <c r="I41" s="31"/>
      <c r="J41" s="31"/>
      <c r="K41" s="31"/>
      <c r="L41" s="31"/>
      <c r="M41" s="31"/>
      <c r="N41" s="31"/>
      <c r="O41" s="31"/>
      <c r="P41" s="31"/>
      <c r="Q41" s="31"/>
      <c r="R41" s="31"/>
      <c r="S41" s="31"/>
      <c r="T41" s="31"/>
      <c r="U41" s="31"/>
      <c r="V41" s="32"/>
      <c r="W41" s="32"/>
      <c r="X41" s="32"/>
    </row>
    <row r="42" spans="1:24" x14ac:dyDescent="0.35">
      <c r="A42" s="31"/>
      <c r="B42" s="31"/>
      <c r="C42" s="31"/>
      <c r="D42" s="31"/>
      <c r="E42" s="31"/>
      <c r="F42" s="31"/>
      <c r="G42" s="31"/>
      <c r="H42" s="31"/>
      <c r="I42" s="31"/>
      <c r="J42" s="31"/>
      <c r="K42" s="31"/>
      <c r="L42" s="31"/>
      <c r="M42" s="31"/>
      <c r="N42" s="31"/>
      <c r="O42" s="31"/>
      <c r="P42" s="31"/>
      <c r="Q42" s="31"/>
      <c r="R42" s="31"/>
      <c r="S42" s="31"/>
      <c r="T42" s="31"/>
      <c r="U42" s="31"/>
      <c r="V42" s="32"/>
      <c r="W42" s="32"/>
      <c r="X42" s="32"/>
    </row>
    <row r="43" spans="1:24" x14ac:dyDescent="0.35">
      <c r="A43" s="31"/>
      <c r="B43" s="31"/>
      <c r="C43" s="31"/>
      <c r="D43" s="31"/>
      <c r="E43" s="31"/>
      <c r="F43" s="31"/>
      <c r="G43" s="31"/>
      <c r="H43" s="31"/>
      <c r="I43" s="31"/>
      <c r="J43" s="31"/>
      <c r="K43" s="31"/>
      <c r="L43" s="31"/>
      <c r="M43" s="31"/>
      <c r="N43" s="31"/>
      <c r="O43" s="31"/>
      <c r="P43" s="31"/>
      <c r="Q43" s="31"/>
      <c r="R43" s="31"/>
      <c r="S43" s="31"/>
      <c r="T43" s="31"/>
      <c r="U43" s="31"/>
      <c r="V43" s="32"/>
      <c r="W43" s="32"/>
      <c r="X43" s="32"/>
    </row>
    <row r="44" spans="1:24" x14ac:dyDescent="0.35">
      <c r="A44" s="31"/>
      <c r="B44" s="31"/>
      <c r="C44" s="31"/>
      <c r="D44" s="31"/>
      <c r="E44" s="31"/>
      <c r="F44" s="31"/>
      <c r="G44" s="31"/>
      <c r="H44" s="31"/>
      <c r="I44" s="31"/>
      <c r="J44" s="31"/>
      <c r="K44" s="31"/>
      <c r="L44" s="31"/>
      <c r="M44" s="31"/>
      <c r="N44" s="31"/>
      <c r="O44" s="31"/>
      <c r="P44" s="31"/>
      <c r="Q44" s="31"/>
      <c r="R44" s="31"/>
      <c r="S44" s="31"/>
      <c r="T44" s="31"/>
      <c r="U44" s="31"/>
      <c r="V44" s="32"/>
      <c r="W44" s="32"/>
      <c r="X44" s="32"/>
    </row>
    <row r="45" spans="1:24" x14ac:dyDescent="0.35">
      <c r="A45" s="32"/>
      <c r="B45" s="32"/>
      <c r="C45" s="32"/>
      <c r="D45" s="32"/>
      <c r="E45" s="32"/>
      <c r="F45" s="32"/>
      <c r="G45" s="32"/>
      <c r="H45" s="32"/>
      <c r="I45" s="32"/>
      <c r="J45" s="32"/>
      <c r="K45" s="32"/>
      <c r="L45" s="32"/>
      <c r="M45" s="32"/>
      <c r="N45" s="32"/>
      <c r="O45" s="32" t="s">
        <v>51</v>
      </c>
      <c r="P45" s="32"/>
      <c r="Q45" s="32"/>
      <c r="R45" s="32"/>
      <c r="S45" s="32"/>
      <c r="T45" s="32"/>
      <c r="U45" s="32"/>
      <c r="V45" s="32"/>
      <c r="W45" s="32"/>
    </row>
    <row r="46" spans="1:24" hidden="1" x14ac:dyDescent="0.35">
      <c r="A46" s="32"/>
      <c r="B46" s="32"/>
      <c r="C46" s="32"/>
      <c r="D46" s="32"/>
      <c r="E46" s="32"/>
      <c r="F46" s="32"/>
      <c r="G46" s="32"/>
      <c r="H46" s="32"/>
      <c r="I46" s="32"/>
      <c r="J46" s="32"/>
      <c r="K46" s="32"/>
      <c r="L46" s="32"/>
      <c r="M46" s="32"/>
      <c r="N46" s="32"/>
      <c r="O46" s="32"/>
      <c r="P46" s="32"/>
      <c r="Q46" s="32"/>
      <c r="R46" s="32"/>
      <c r="S46" s="32"/>
      <c r="T46" s="32"/>
      <c r="U46" s="32"/>
      <c r="V46" s="32"/>
      <c r="W46" s="32"/>
    </row>
    <row r="47" spans="1:24" hidden="1" x14ac:dyDescent="0.35">
      <c r="A47" s="32"/>
      <c r="B47" s="32"/>
      <c r="C47" s="32"/>
      <c r="D47" s="32"/>
      <c r="E47" s="32"/>
      <c r="F47" s="32"/>
      <c r="G47" s="32"/>
      <c r="H47" s="32"/>
      <c r="I47" s="32"/>
      <c r="J47" s="32"/>
      <c r="K47" s="32"/>
      <c r="L47" s="32"/>
      <c r="M47" s="32"/>
      <c r="N47" s="32"/>
      <c r="O47" s="32"/>
      <c r="P47" s="32"/>
      <c r="Q47" s="32"/>
      <c r="R47" s="32"/>
      <c r="S47" s="32"/>
      <c r="T47" s="32"/>
      <c r="U47" s="32"/>
      <c r="V47" s="32"/>
      <c r="W47" s="32"/>
    </row>
    <row r="48" spans="1:24" hidden="1" x14ac:dyDescent="0.35">
      <c r="A48" s="32"/>
      <c r="B48" s="32"/>
      <c r="C48" s="32"/>
      <c r="D48" s="32"/>
      <c r="E48" s="32"/>
      <c r="F48" s="32"/>
      <c r="G48" s="32"/>
      <c r="H48" s="32"/>
      <c r="I48" s="32"/>
      <c r="J48" s="32"/>
      <c r="K48" s="32"/>
      <c r="L48" s="32"/>
      <c r="M48" s="32"/>
      <c r="N48" s="32"/>
      <c r="O48" s="32"/>
      <c r="P48" s="32"/>
      <c r="Q48" s="32"/>
      <c r="R48" s="32"/>
      <c r="S48" s="32"/>
      <c r="T48" s="32"/>
      <c r="U48" s="32"/>
      <c r="V48" s="32"/>
      <c r="W48" s="32"/>
    </row>
    <row r="49" spans="1:23" hidden="1" x14ac:dyDescent="0.35">
      <c r="A49" s="32"/>
      <c r="B49" s="32"/>
      <c r="C49" s="32"/>
      <c r="D49" s="32"/>
      <c r="E49" s="32"/>
      <c r="F49" s="32"/>
      <c r="G49" s="32"/>
      <c r="H49" s="32"/>
      <c r="I49" s="32"/>
      <c r="J49" s="32"/>
      <c r="K49" s="32"/>
      <c r="L49" s="32"/>
      <c r="M49" s="32"/>
      <c r="N49" s="32"/>
      <c r="O49" s="32"/>
      <c r="P49" s="32"/>
      <c r="Q49" s="32"/>
      <c r="R49" s="32"/>
      <c r="S49" s="32"/>
      <c r="T49" s="32"/>
      <c r="U49" s="32"/>
      <c r="V49" s="32"/>
      <c r="W49" s="32"/>
    </row>
    <row r="50" spans="1:23" hidden="1" x14ac:dyDescent="0.35">
      <c r="A50" s="32"/>
      <c r="B50" s="32"/>
      <c r="C50" s="32"/>
      <c r="D50" s="32"/>
      <c r="E50" s="32"/>
      <c r="F50" s="32"/>
      <c r="G50" s="32"/>
      <c r="H50" s="32"/>
      <c r="I50" s="32"/>
      <c r="J50" s="32"/>
      <c r="K50" s="32"/>
      <c r="L50" s="32"/>
      <c r="M50" s="32"/>
      <c r="N50" s="32"/>
      <c r="O50" s="32"/>
      <c r="P50" s="32"/>
      <c r="Q50" s="32"/>
      <c r="R50" s="32"/>
      <c r="S50" s="32"/>
      <c r="T50" s="32"/>
      <c r="U50" s="32"/>
      <c r="V50" s="32"/>
      <c r="W50" s="32"/>
    </row>
    <row r="51" spans="1:23" hidden="1" x14ac:dyDescent="0.35">
      <c r="A51" s="32"/>
      <c r="B51" s="32"/>
      <c r="C51" s="32"/>
      <c r="D51" s="32"/>
      <c r="E51" s="32"/>
      <c r="F51" s="32"/>
      <c r="G51" s="32"/>
      <c r="H51" s="32"/>
      <c r="I51" s="32"/>
      <c r="J51" s="32"/>
      <c r="K51" s="32"/>
      <c r="L51" s="32"/>
      <c r="M51" s="32"/>
      <c r="N51" s="32"/>
      <c r="O51" s="32"/>
      <c r="P51" s="32"/>
      <c r="Q51" s="32"/>
      <c r="R51" s="32"/>
      <c r="S51" s="32"/>
      <c r="T51" s="32"/>
      <c r="U51" s="32"/>
      <c r="V51" s="32"/>
      <c r="W51" s="32"/>
    </row>
    <row r="52" spans="1:23" hidden="1" x14ac:dyDescent="0.35">
      <c r="A52" s="32"/>
      <c r="B52" s="32"/>
      <c r="C52" s="32"/>
      <c r="D52" s="32"/>
      <c r="E52" s="32"/>
      <c r="F52" s="32"/>
      <c r="G52" s="32"/>
      <c r="H52" s="32"/>
      <c r="I52" s="32"/>
      <c r="J52" s="32"/>
      <c r="K52" s="32"/>
      <c r="L52" s="32"/>
      <c r="M52" s="32"/>
      <c r="N52" s="32"/>
      <c r="O52" s="32"/>
      <c r="P52" s="32"/>
      <c r="Q52" s="32"/>
      <c r="R52" s="32"/>
      <c r="S52" s="32"/>
      <c r="T52" s="32"/>
      <c r="U52" s="32"/>
      <c r="V52" s="32"/>
      <c r="W52" s="32"/>
    </row>
    <row r="53" spans="1:23" hidden="1" x14ac:dyDescent="0.35">
      <c r="A53" s="32"/>
      <c r="B53" s="32"/>
      <c r="C53" s="32"/>
      <c r="D53" s="32"/>
      <c r="E53" s="32"/>
      <c r="F53" s="32"/>
      <c r="G53" s="32"/>
      <c r="H53" s="32"/>
      <c r="I53" s="32"/>
      <c r="J53" s="32"/>
      <c r="K53" s="32"/>
      <c r="L53" s="32"/>
      <c r="M53" s="32"/>
      <c r="N53" s="32"/>
      <c r="O53" s="32"/>
      <c r="P53" s="32"/>
      <c r="Q53" s="32"/>
      <c r="R53" s="32"/>
      <c r="S53" s="32"/>
      <c r="T53" s="32"/>
      <c r="U53" s="32"/>
      <c r="V53" s="32"/>
      <c r="W53" s="3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4</xdr:col>
                    <xdr:colOff>400050</xdr:colOff>
                    <xdr:row>12</xdr:row>
                    <xdr:rowOff>165100</xdr:rowOff>
                  </from>
                  <to>
                    <xdr:col>4</xdr:col>
                    <xdr:colOff>603250</xdr:colOff>
                    <xdr:row>14</xdr:row>
                    <xdr:rowOff>38100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2</xdr:col>
                    <xdr:colOff>431800</xdr:colOff>
                    <xdr:row>13</xdr:row>
                    <xdr:rowOff>12700</xdr:rowOff>
                  </from>
                  <to>
                    <xdr:col>3</xdr:col>
                    <xdr:colOff>88900</xdr:colOff>
                    <xdr:row>14</xdr:row>
                    <xdr:rowOff>0</xdr:rowOff>
                  </to>
                </anchor>
              </controlPr>
            </control>
          </mc:Choice>
        </mc:AlternateContent>
        <mc:AlternateContent xmlns:mc="http://schemas.openxmlformats.org/markup-compatibility/2006">
          <mc:Choice Requires="x14">
            <control shapeId="1028" r:id="rId5" name="Option Button 4">
              <controlPr defaultSize="0" autoFill="0" autoLine="0" autoPict="0">
                <anchor moveWithCells="1">
                  <from>
                    <xdr:col>7</xdr:col>
                    <xdr:colOff>69850</xdr:colOff>
                    <xdr:row>12</xdr:row>
                    <xdr:rowOff>152400</xdr:rowOff>
                  </from>
                  <to>
                    <xdr:col>7</xdr:col>
                    <xdr:colOff>266700</xdr:colOff>
                    <xdr:row>14</xdr:row>
                    <xdr:rowOff>31750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A933A-A744-49EF-8933-AF0B619176E2}">
  <sheetPr codeName="Sheet3"/>
  <dimension ref="A1:M8"/>
  <sheetViews>
    <sheetView topLeftCell="F13" workbookViewId="0">
      <selection activeCell="F1" sqref="F1"/>
    </sheetView>
  </sheetViews>
  <sheetFormatPr defaultRowHeight="14.5" x14ac:dyDescent="0.35"/>
  <cols>
    <col min="1" max="1" width="14.54296875" customWidth="1"/>
    <col min="2" max="2" width="22" customWidth="1"/>
    <col min="3" max="4" width="14.453125" customWidth="1"/>
    <col min="5" max="5" width="17.453125" customWidth="1"/>
    <col min="6" max="6" width="22.7265625" customWidth="1"/>
    <col min="7" max="7" width="17.453125" customWidth="1"/>
    <col min="8" max="8" width="30.453125" customWidth="1"/>
    <col min="9" max="9" width="21.26953125" customWidth="1"/>
    <col min="10" max="10" width="21.1796875" customWidth="1"/>
    <col min="11" max="11" width="23.453125" customWidth="1"/>
    <col min="12" max="12" width="13.81640625" customWidth="1"/>
    <col min="13" max="13" width="15" customWidth="1"/>
  </cols>
  <sheetData>
    <row r="1" spans="1:13" ht="15.5" x14ac:dyDescent="0.35">
      <c r="A1" s="1" t="s">
        <v>0</v>
      </c>
      <c r="B1" s="1" t="s">
        <v>19</v>
      </c>
      <c r="C1" s="1" t="s">
        <v>20</v>
      </c>
      <c r="D1" s="1" t="s">
        <v>21</v>
      </c>
      <c r="E1" s="2" t="s">
        <v>17</v>
      </c>
      <c r="F1" s="5" t="s">
        <v>18</v>
      </c>
      <c r="G1" s="1" t="s">
        <v>22</v>
      </c>
      <c r="H1" s="1" t="s">
        <v>9</v>
      </c>
      <c r="I1" s="1" t="s">
        <v>29</v>
      </c>
      <c r="J1" s="1" t="s">
        <v>30</v>
      </c>
      <c r="K1" s="1" t="s">
        <v>37</v>
      </c>
      <c r="L1" s="1" t="s">
        <v>45</v>
      </c>
      <c r="M1" s="1" t="s">
        <v>46</v>
      </c>
    </row>
    <row r="2" spans="1:13" x14ac:dyDescent="0.35">
      <c r="A2" t="s">
        <v>1</v>
      </c>
      <c r="B2" s="6">
        <v>4056.7904100000001</v>
      </c>
      <c r="C2" s="6">
        <v>3987.0069910000002</v>
      </c>
      <c r="D2" s="6">
        <v>4230.0206289999996</v>
      </c>
      <c r="E2" s="6">
        <v>12273.818029999999</v>
      </c>
      <c r="F2" s="10">
        <f>(D2-B2)/B2</f>
        <v>4.2701298685035978E-2</v>
      </c>
      <c r="G2" s="6" t="s">
        <v>23</v>
      </c>
      <c r="H2" s="6" t="str">
        <f>_xlfn.XLOOKUP(Table2[[#This Row],[Product Code]],Product_code,Company)</f>
        <v>Euro Shopping Channel</v>
      </c>
      <c r="I2" s="6">
        <f>_xlfn.XLOOKUP(Table2[[#This Row],[Product Code]],Product_code,Rank)</f>
        <v>1</v>
      </c>
      <c r="J2" s="6">
        <f>_xlfn.XLOOKUP(Table2[[#This Row],[Product Code]],Product_code,Revenue)</f>
        <v>766195.05</v>
      </c>
      <c r="K2" t="s">
        <v>34</v>
      </c>
      <c r="L2" s="10">
        <f t="shared" ref="L2:L8" si="0">(C2-B2)/B2</f>
        <v>-1.7201632805082447E-2</v>
      </c>
      <c r="M2" s="10">
        <f t="shared" ref="M2:M8" si="1">(D2-C2)/C2</f>
        <v>6.0951395005968634E-2</v>
      </c>
    </row>
    <row r="3" spans="1:13" x14ac:dyDescent="0.35">
      <c r="A3" t="s">
        <v>2</v>
      </c>
      <c r="B3" s="6">
        <v>3402.7117429999998</v>
      </c>
      <c r="C3" s="6">
        <v>3417.9587200000001</v>
      </c>
      <c r="D3" s="6">
        <v>4050.8194830000002</v>
      </c>
      <c r="E3" s="6">
        <v>10871.489946000002</v>
      </c>
      <c r="F3" s="10">
        <f t="shared" ref="F3:F8" si="2">(D3-B3)/B3</f>
        <v>0.19046801167723845</v>
      </c>
      <c r="G3" s="6" t="s">
        <v>23</v>
      </c>
      <c r="H3" s="6" t="str">
        <f>_xlfn.XLOOKUP(Table2[[#This Row],[Product Code]],Product_code,Company)</f>
        <v>Euro Shopping Channel</v>
      </c>
      <c r="I3" s="6">
        <f>_xlfn.XLOOKUP(Table2[[#This Row],[Product Code]],Product_code,Rank)</f>
        <v>1</v>
      </c>
      <c r="J3" s="6">
        <f>_xlfn.XLOOKUP(Table2[[#This Row],[Product Code]],Product_code,Revenue)</f>
        <v>766195.05</v>
      </c>
      <c r="K3" t="s">
        <v>34</v>
      </c>
      <c r="L3" s="10">
        <f t="shared" si="0"/>
        <v>4.4808312168569857E-3</v>
      </c>
      <c r="M3" s="10">
        <f t="shared" si="1"/>
        <v>0.18515752086087223</v>
      </c>
    </row>
    <row r="4" spans="1:13" x14ac:dyDescent="0.35">
      <c r="A4" t="s">
        <v>3</v>
      </c>
      <c r="B4" s="6">
        <v>3203.0305880000001</v>
      </c>
      <c r="C4" s="6">
        <v>3122.1850930000001</v>
      </c>
      <c r="D4" s="6">
        <v>3334.5695000000001</v>
      </c>
      <c r="E4" s="6">
        <v>9659.7851809999993</v>
      </c>
      <c r="F4" s="10">
        <f t="shared" si="2"/>
        <v>4.1067017122098114E-2</v>
      </c>
      <c r="G4" s="6" t="s">
        <v>24</v>
      </c>
      <c r="H4" s="6" t="str">
        <f>_xlfn.XLOOKUP(Table2[[#This Row],[Product Code]],Product_code,Company)</f>
        <v>Mini Gifts Distributors Ltd.</v>
      </c>
      <c r="I4" s="6">
        <f>_xlfn.XLOOKUP(Table2[[#This Row],[Product Code]],Product_code,Rank)</f>
        <v>2</v>
      </c>
      <c r="J4" s="6">
        <f>_xlfn.XLOOKUP(Table2[[#This Row],[Product Code]],Product_code,Revenue)</f>
        <v>530587.18999999994</v>
      </c>
      <c r="K4" t="s">
        <v>35</v>
      </c>
      <c r="L4" s="10">
        <f t="shared" si="0"/>
        <v>-2.5240313128099302E-2</v>
      </c>
      <c r="M4" s="10">
        <f t="shared" si="1"/>
        <v>6.8024284491066844E-2</v>
      </c>
    </row>
    <row r="5" spans="1:13" x14ac:dyDescent="0.35">
      <c r="A5" t="s">
        <v>4</v>
      </c>
      <c r="B5" s="6">
        <v>3022.4825930000002</v>
      </c>
      <c r="C5" s="6">
        <v>2969.0258260000001</v>
      </c>
      <c r="D5" s="6">
        <v>3373.107105</v>
      </c>
      <c r="E5" s="6">
        <v>9364.6155240000007</v>
      </c>
      <c r="F5" s="10">
        <f t="shared" si="2"/>
        <v>0.11600546941512191</v>
      </c>
      <c r="G5" s="6" t="s">
        <v>24</v>
      </c>
      <c r="H5" s="6" t="str">
        <f>_xlfn.XLOOKUP(Table2[[#This Row],[Product Code]],Product_code,Company)</f>
        <v>Mini Gifts Distributors Ltd.</v>
      </c>
      <c r="I5" s="6">
        <f>_xlfn.XLOOKUP(Table2[[#This Row],[Product Code]],Product_code,Rank)</f>
        <v>2</v>
      </c>
      <c r="J5" s="6">
        <f>_xlfn.XLOOKUP(Table2[[#This Row],[Product Code]],Product_code,Revenue)</f>
        <v>530587.18999999994</v>
      </c>
      <c r="K5" t="s">
        <v>36</v>
      </c>
      <c r="L5" s="10">
        <f t="shared" si="0"/>
        <v>-1.7686377127135409E-2</v>
      </c>
      <c r="M5" s="10">
        <f t="shared" si="1"/>
        <v>0.13609894378870924</v>
      </c>
    </row>
    <row r="6" spans="1:13" x14ac:dyDescent="0.35">
      <c r="A6" t="s">
        <v>5</v>
      </c>
      <c r="B6" s="6">
        <v>2600.0817860000002</v>
      </c>
      <c r="C6" s="6">
        <v>3149.2932430000001</v>
      </c>
      <c r="D6" s="6">
        <v>3076.4441670000001</v>
      </c>
      <c r="E6" s="6">
        <v>8825.8191960000004</v>
      </c>
      <c r="F6" s="10">
        <f t="shared" si="2"/>
        <v>0.18321053728576825</v>
      </c>
      <c r="G6" s="6" t="s">
        <v>25</v>
      </c>
      <c r="H6" s="6" t="str">
        <f>_xlfn.XLOOKUP(Table2[[#This Row],[Product Code]],Product_code,Company)</f>
        <v>Australian Collectors, Co.</v>
      </c>
      <c r="I6" s="6">
        <f>_xlfn.XLOOKUP(Table2[[#This Row],[Product Code]],Product_code,Rank)</f>
        <v>3</v>
      </c>
      <c r="J6" s="6">
        <f>_xlfn.XLOOKUP(Table2[[#This Row],[Product Code]],Product_code,Revenue)</f>
        <v>164575.87</v>
      </c>
      <c r="K6" t="s">
        <v>35</v>
      </c>
      <c r="L6" s="10">
        <f t="shared" si="0"/>
        <v>0.21122853133205244</v>
      </c>
      <c r="M6" s="10">
        <f t="shared" si="1"/>
        <v>-2.3131880831333548E-2</v>
      </c>
    </row>
    <row r="7" spans="1:13" x14ac:dyDescent="0.35">
      <c r="A7" t="s">
        <v>6</v>
      </c>
      <c r="B7" s="6">
        <v>3822.0902729999998</v>
      </c>
      <c r="C7" s="6">
        <v>3727.4851410000001</v>
      </c>
      <c r="D7" s="6">
        <v>3633.8167349999999</v>
      </c>
      <c r="E7" s="6">
        <v>11183.392148999999</v>
      </c>
      <c r="F7" s="10">
        <f t="shared" si="2"/>
        <v>-4.9259312196261132E-2</v>
      </c>
      <c r="G7" s="6" t="s">
        <v>26</v>
      </c>
      <c r="H7" s="6" t="str">
        <f>_xlfn.XLOOKUP(Table2[[#This Row],[Product Code]],Product_code,Company)</f>
        <v>La Rochelle Gifts</v>
      </c>
      <c r="I7" s="6">
        <f>_xlfn.XLOOKUP(Table2[[#This Row],[Product Code]],Product_code,Rank)</f>
        <v>4</v>
      </c>
      <c r="J7" s="6">
        <f>_xlfn.XLOOKUP(Table2[[#This Row],[Product Code]],Product_code,Revenue)</f>
        <v>153909.82</v>
      </c>
      <c r="K7" t="s">
        <v>34</v>
      </c>
      <c r="L7" s="10">
        <f t="shared" si="0"/>
        <v>-2.4752197159839215E-2</v>
      </c>
      <c r="M7" s="10">
        <f t="shared" si="1"/>
        <v>-2.5129115866809628E-2</v>
      </c>
    </row>
    <row r="8" spans="1:13" x14ac:dyDescent="0.35">
      <c r="A8" t="s">
        <v>7</v>
      </c>
      <c r="B8" s="6">
        <v>2945.6459730000001</v>
      </c>
      <c r="C8" s="6">
        <v>3209.2386270000002</v>
      </c>
      <c r="D8" s="6">
        <v>3340.581471</v>
      </c>
      <c r="E8" s="6">
        <v>9495.4660710000007</v>
      </c>
      <c r="F8" s="10">
        <f t="shared" si="2"/>
        <v>0.1340743258422793</v>
      </c>
      <c r="G8" s="6" t="s">
        <v>27</v>
      </c>
      <c r="H8" s="6" t="str">
        <f>_xlfn.XLOOKUP(Table2[[#This Row],[Product Code]],Product_code,Company)</f>
        <v>Muscle Machine Inc</v>
      </c>
      <c r="I8" s="6">
        <f>_xlfn.XLOOKUP(Table2[[#This Row],[Product Code]],Product_code,Rank)</f>
        <v>5</v>
      </c>
      <c r="J8" s="6">
        <f>_xlfn.XLOOKUP(Table2[[#This Row],[Product Code]],Product_code,Revenue)</f>
        <v>151782.04</v>
      </c>
      <c r="K8" t="s">
        <v>34</v>
      </c>
      <c r="L8" s="10">
        <f t="shared" si="0"/>
        <v>8.948551740980043E-2</v>
      </c>
      <c r="M8" s="10">
        <f t="shared" si="1"/>
        <v>4.092648109585395E-2</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83995-B02C-42BA-B38B-6BEC4BBA558C}">
  <sheetPr codeName="Sheet4"/>
  <dimension ref="C6:F12"/>
  <sheetViews>
    <sheetView workbookViewId="0">
      <selection activeCell="C6" sqref="C6:C11"/>
    </sheetView>
  </sheetViews>
  <sheetFormatPr defaultRowHeight="14.5" x14ac:dyDescent="0.35"/>
  <cols>
    <col min="4" max="4" width="19" customWidth="1"/>
    <col min="5" max="5" width="29.7265625" customWidth="1"/>
    <col min="6" max="6" width="13.26953125" customWidth="1"/>
  </cols>
  <sheetData>
    <row r="6" spans="3:6" x14ac:dyDescent="0.35">
      <c r="C6" s="5" t="s">
        <v>8</v>
      </c>
      <c r="D6" s="5" t="s">
        <v>28</v>
      </c>
      <c r="E6" s="5" t="s">
        <v>9</v>
      </c>
      <c r="F6" s="5" t="s">
        <v>10</v>
      </c>
    </row>
    <row r="7" spans="3:6" x14ac:dyDescent="0.35">
      <c r="C7" s="3">
        <v>1</v>
      </c>
      <c r="D7" t="s">
        <v>23</v>
      </c>
      <c r="E7" t="s">
        <v>11</v>
      </c>
      <c r="F7" s="7">
        <v>766195.05</v>
      </c>
    </row>
    <row r="8" spans="3:6" x14ac:dyDescent="0.35">
      <c r="C8" s="4">
        <v>2</v>
      </c>
      <c r="D8" t="s">
        <v>24</v>
      </c>
      <c r="E8" t="s">
        <v>12</v>
      </c>
      <c r="F8" s="7">
        <v>530587.18999999994</v>
      </c>
    </row>
    <row r="9" spans="3:6" x14ac:dyDescent="0.35">
      <c r="C9" s="4">
        <v>3</v>
      </c>
      <c r="D9" t="s">
        <v>25</v>
      </c>
      <c r="E9" t="s">
        <v>13</v>
      </c>
      <c r="F9" s="7">
        <v>164575.87</v>
      </c>
    </row>
    <row r="10" spans="3:6" x14ac:dyDescent="0.35">
      <c r="C10" s="4">
        <v>4</v>
      </c>
      <c r="D10" t="s">
        <v>26</v>
      </c>
      <c r="E10" t="s">
        <v>14</v>
      </c>
      <c r="F10" s="7">
        <v>153909.82</v>
      </c>
    </row>
    <row r="11" spans="3:6" x14ac:dyDescent="0.35">
      <c r="C11" s="4">
        <v>5</v>
      </c>
      <c r="D11" t="s">
        <v>27</v>
      </c>
      <c r="E11" t="s">
        <v>15</v>
      </c>
      <c r="F11" s="7">
        <v>151782.04</v>
      </c>
    </row>
    <row r="12" spans="3:6" x14ac:dyDescent="0.35">
      <c r="E12" s="9" t="s">
        <v>16</v>
      </c>
      <c r="F12" s="8">
        <v>1767049.97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5</vt:i4>
      </vt:variant>
    </vt:vector>
  </HeadingPairs>
  <TitlesOfParts>
    <vt:vector size="10" baseType="lpstr">
      <vt:lpstr>Anlysis</vt:lpstr>
      <vt:lpstr>Dashbord</vt:lpstr>
      <vt:lpstr>sales data sample</vt:lpstr>
      <vt:lpstr>Sheet1</vt:lpstr>
      <vt:lpstr>Chart1</vt:lpstr>
      <vt:lpstr>Chooseoption</vt:lpstr>
      <vt:lpstr>Company</vt:lpstr>
      <vt:lpstr>Product_code</vt:lpstr>
      <vt:lpstr>Rank</vt:lpstr>
      <vt:lpstr>Revenue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joyyyroooy@gmail.com</cp:lastModifiedBy>
  <dcterms:created xsi:type="dcterms:W3CDTF">2025-05-06T06:45:21Z</dcterms:created>
  <dcterms:modified xsi:type="dcterms:W3CDTF">2025-05-28T19:20:38Z</dcterms:modified>
</cp:coreProperties>
</file>